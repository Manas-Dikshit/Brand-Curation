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 Curation Matrix" sheetId="1" r:id="rId4"/>
    <sheet state="visible" name="Criteria &amp; Weights" sheetId="2" r:id="rId5"/>
    <sheet state="visible" name="Copy of Criteria &amp; Weights" sheetId="3" r:id="rId6"/>
    <sheet state="visible" name="Instructions" sheetId="4" r:id="rId7"/>
  </sheets>
  <definedNames>
    <definedName hidden="1" localSheetId="1" name="_xlnm._FilterDatabase">'Criteria &amp; Weights'!$A$1:$E$24</definedName>
    <definedName hidden="1" localSheetId="2" name="_xlnm._FilterDatabase">'Copy of Criteria &amp; Weights'!$A$1:$E$16</definedName>
    <definedName hidden="1" localSheetId="0" name="Z_04EA56E5_7E3F_40B7_8257_F0437EF1ADE5_.wvu.FilterData">'Brand Curation Matrix'!$A$1:$V$103</definedName>
  </definedNames>
  <calcPr/>
  <customWorkbookViews>
    <customWorkbookView activeSheetId="0" maximized="1" windowHeight="0" windowWidth="0" guid="{04EA56E5-7E3F-40B7-8257-F0437EF1ADE5}" name="BrandCurationTable filter view"/>
  </customWorkbookViews>
  <extLst>
    <ext uri="GoogleSheetsCustomDataVersion2">
      <go:sheetsCustomData xmlns:go="http://customooxmlschemas.google.com/" r:id="rId8" roundtripDataChecksum="qeeepXjieVABwwLHTaIXmvNa5Mt1Do1TbVWh9ncuhZQ="/>
    </ext>
  </extLst>
</workbook>
</file>

<file path=xl/sharedStrings.xml><?xml version="1.0" encoding="utf-8"?>
<sst xmlns="http://schemas.openxmlformats.org/spreadsheetml/2006/main" count="359" uniqueCount="234">
  <si>
    <t>Criterion</t>
  </si>
  <si>
    <t>How to use the Brand Curation Matrix</t>
  </si>
  <si>
    <t>What to evaluate</t>
  </si>
  <si>
    <t>Weight (%)</t>
  </si>
  <si>
    <t>Priority</t>
  </si>
  <si>
    <t>Scoring guidance</t>
  </si>
  <si>
    <t>Product price fit</t>
  </si>
  <si>
    <t>Product price typically falls within ₹150–₹800</t>
  </si>
  <si>
    <t>High</t>
  </si>
  <si>
    <t>0 = No fit | 1 = Very weak | 2 = Weak | 3 = Acceptable | 4 = Strong | 5 = Excellent</t>
  </si>
  <si>
    <t>1. Add one brand per row in the 'Brand Curation Matrix' sheet.</t>
  </si>
  <si>
    <t>High-margin products</t>
  </si>
  <si>
    <t>Has attractive gross margin potential for Newtail</t>
  </si>
  <si>
    <t>Repeat customers</t>
  </si>
  <si>
    <t>2. Score every criterion from 0 to 5.</t>
  </si>
  <si>
    <t>Evidence of repeat purchase / replenishment behavior</t>
  </si>
  <si>
    <t>Medium</t>
  </si>
  <si>
    <t>3. The matrix automatically converts each score into a weighted score out of 100.</t>
  </si>
  <si>
    <t>Revenue-generating brand</t>
  </si>
  <si>
    <t>Has meaningful revenue/sales traction; not entirely unproven</t>
  </si>
  <si>
    <t>4. Current rule: Weighted Score ≥ 70 = SELECTED; below 70 = NOT SELECTED.</t>
  </si>
  <si>
    <t>5. Use Notes for evidence, links, retailer feedback, review observations, or reasons for the score.</t>
  </si>
  <si>
    <t>Digital PMF</t>
  </si>
  <si>
    <t>Proven product-market fit online and is now suitable for offline expansion</t>
  </si>
  <si>
    <t>In-demand category</t>
  </si>
  <si>
    <t>Operates in a category with demonstrated consumer demand</t>
  </si>
  <si>
    <t>Recommended review process</t>
  </si>
  <si>
    <t>Customer buying momentum</t>
  </si>
  <si>
    <t>Customers are actively buying/discovering brands like this</t>
  </si>
  <si>
    <t>Active marketing</t>
  </si>
  <si>
    <t>Brand actively runs ads, campaigns, influencer activity, etc.</t>
  </si>
  <si>
    <t>A. Shortlist using customer/category demand and retailer feedback.</t>
  </si>
  <si>
    <t>Quick-commerce presence</t>
  </si>
  <si>
    <t>Listed on relevant quick-commerce platforms in target locations</t>
  </si>
  <si>
    <t>B. Validate price, margin, repeat purchase, revenue and proven sell-through.</t>
  </si>
  <si>
    <t>Low</t>
  </si>
  <si>
    <t>C. Validate Newtail fit: visibility willingness, offline whitespace, Bengaluru fit and shelf readiness.</t>
  </si>
  <si>
    <t>Bengaluru fit</t>
  </si>
  <si>
    <t>Bengaluru-based or has a strong reason to prioritize Bengaluru expansion</t>
  </si>
  <si>
    <t>D. Review the final score together with evidence before onboarding.</t>
  </si>
  <si>
    <t>Distinctive packaging</t>
  </si>
  <si>
    <t>Packaging is differentiated and can attract attention; not generic</t>
  </si>
  <si>
    <t>Important</t>
  </si>
  <si>
    <t>Customer reviews</t>
  </si>
  <si>
    <t>Strong customer reviews/ratings across relevant ecommerce channels</t>
  </si>
  <si>
    <t>High-value audience</t>
  </si>
  <si>
    <t>Target customer/audience has strong purchasing power or category value</t>
  </si>
  <si>
    <t>The 70-point threshold is a starting operating rule. After reviewing 30–50 brands, adjust the threshold and weights based on actual sell-through, visibility revenue and retailer feedback.</t>
  </si>
  <si>
    <t>Willingness to pay for visibility</t>
  </si>
  <si>
    <t>Brand values offline visibility/discovery, not only distribution/sales</t>
  </si>
  <si>
    <t>Brand Name</t>
  </si>
  <si>
    <t>Offline distribution whitespace</t>
  </si>
  <si>
    <t>Limited existing offline distribution / clear whitespace for Newtail</t>
  </si>
  <si>
    <t>Target audience fit</t>
  </si>
  <si>
    <t>Target age group and consumer profile match Newtail's retail audience</t>
  </si>
  <si>
    <t>Competitive landscape</t>
  </si>
  <si>
    <t>Competitive set validates demand and gives a clear positioning opportunity</t>
  </si>
  <si>
    <t>Customer/category fit</t>
  </si>
  <si>
    <t>Category/product aligns with what target customers actually shop for</t>
  </si>
  <si>
    <t>Retailer demand fit</t>
  </si>
  <si>
    <t>Retailers confirm the category is a top-selling / demanded category</t>
  </si>
  <si>
    <t>Bestseller strength</t>
  </si>
  <si>
    <t>Brand has clear bestselling products suitable for offline discovery</t>
  </si>
  <si>
    <t>Social media presence</t>
  </si>
  <si>
    <t>Brand has active, credible social presence and ongoing consumer engagement</t>
  </si>
  <si>
    <t>Proven sell-through</t>
  </si>
  <si>
    <t>Product has demonstrated sell-through in other channels/locations</t>
  </si>
  <si>
    <t>Shelf-ready packaging</t>
  </si>
  <si>
    <t>Packaging is physically suitable for retail shelves and easy to merchandise</t>
  </si>
  <si>
    <t>TOTAL WEIGHT</t>
  </si>
  <si>
    <t>Bengaluru based</t>
  </si>
  <si>
    <t>Weighted Score (%)</t>
  </si>
  <si>
    <t>Final Decision</t>
  </si>
  <si>
    <t>Notes</t>
  </si>
  <si>
    <t>6TEEN</t>
  </si>
  <si>
    <t>Allter</t>
  </si>
  <si>
    <t>Aranieco</t>
  </si>
  <si>
    <t>2 — customer review states annual stocking; limited direct repeat evidence</t>
  </si>
  <si>
    <t>3 — online brand since 2021 with 44 products and customer reviews</t>
  </si>
  <si>
    <t>4 — daily-use home/personal care essentials with multiple reviewed products</t>
  </si>
  <si>
    <t>4 — current offers, blog activity and social presence</t>
  </si>
  <si>
    <t>0 — HQ/registered address in Gurgaon/New Delhi</t>
  </si>
  <si>
    <t>5 — products and packaging designed without single-use plastic</t>
  </si>
  <si>
    <t>4 — multiple products have double/triple-digit review counts</t>
  </si>
  <si>
    <t>3 — ~51.4K Instagram followers reported for @aranieco</t>
  </si>
  <si>
    <t>Aravindh Herbal</t>
  </si>
  <si>
    <t>5 — examples ₹40–₹182.50; many products under ₹150</t>
  </si>
  <si>
    <t>4 — products distributed through 3,000+ retail outlets across India</t>
  </si>
  <si>
    <t>4 — Ayurveda/Siddha medicines, personal care and health products</t>
  </si>
  <si>
    <t>2 — dedicated marketing contacts and ongoing website content; campaign evidence limited</t>
  </si>
  <si>
    <t>0 — manufacturing/contact address is Rajapalayam, Tamil Nadu</t>
  </si>
  <si>
    <t>4 — Justdial listing shows 4.5/5 from 89 ratings in Rajapalayam</t>
  </si>
  <si>
    <t>Asan</t>
  </si>
  <si>
    <t>1 — flagship cup ₹1,699; period underwear from ₹1,099</t>
  </si>
  <si>
    <t>2 — reusable cup lasts up to 10 years; cleanser/underwear create additional purchase occasions</t>
  </si>
  <si>
    <t>4 — 162 reviews on flagship product plus active D2C catalogue</t>
  </si>
  <si>
    <t>5 — menstrual cups/period underwear are core period-care products</t>
  </si>
  <si>
    <t>4 — new product launch, blogs, donation programme and active D2C merchandising</t>
  </si>
  <si>
    <t>4 — plastic-free and 95% recyclable packaging stated by brand</t>
  </si>
  <si>
    <t>5 — 4.85/5 from 162 reviews on flagship product</t>
  </si>
  <si>
    <t>3 — multiple detailed customer-use cases, but no verified unit-sales figure</t>
  </si>
  <si>
    <t>AuraPad</t>
  </si>
  <si>
    <t>Avni</t>
  </si>
  <si>
    <t>4 — period panty starts ₹499; stain remover ₹399; multiple products below ₹800</t>
  </si>
  <si>
    <t>4 — product page shows 743 reviews; review describes six months of continued use</t>
  </si>
  <si>
    <t>5 — company reports digital channels contribute ~75% of revenue; raised ₹4 crore in 2026</t>
  </si>
  <si>
    <t>5 — D2C/e-commerce channels contribute ~75% of revenue</t>
  </si>
  <si>
    <t>5 — menstrual hygiene, cycle nutrition and women's health</t>
  </si>
  <si>
    <t>5 — 2026 funding/expansion, new launches, offers and ongoing educational content</t>
  </si>
  <si>
    <t>2 — Blinkit listing exists; observed listing was out of stock</t>
  </si>
  <si>
    <t>0 — headquarters listed in Thane/Mumbai region</t>
  </si>
  <si>
    <t>4 — official site describes minimal, eco-friendly packaging</t>
  </si>
  <si>
    <t>5 — reusable cloth pad product has 743 reviews</t>
  </si>
  <si>
    <t>4 — company states products have been used by 300,000+ women</t>
  </si>
  <si>
    <t>BabyChakra D2C</t>
  </si>
  <si>
    <t>3 — reported planned/expected product range ₹199–₹400</t>
  </si>
  <si>
    <t>4 — established digital parenting platform with 2.5M+ mothers/users before D2C launch</t>
  </si>
  <si>
    <t>5 — baby-care category</t>
  </si>
  <si>
    <t>4 — community/content/creator ecosystem and D2C launch activity</t>
  </si>
  <si>
    <t>3 — parents/mothers are the defined target audience; purchasing power not directly verified</t>
  </si>
  <si>
    <t>3 — large digital/community presence documented</t>
  </si>
  <si>
    <t>Bloem Period</t>
  </si>
  <si>
    <t>BlissPad</t>
  </si>
  <si>
    <t>5 — examples from ₹49–₹611 across pack sizes</t>
  </si>
  <si>
    <t>4 — documented regular/ongoing users</t>
  </si>
  <si>
    <t>4 — ₹2.05 crore revenue reported for the last fiscal year in 2023</t>
  </si>
  <si>
    <t>5 — large online customer base and active D2C operation</t>
  </si>
  <si>
    <t>5 — menstrual/feminine hygiene</t>
  </si>
  <si>
    <t>4 — affiliate/referral programme, offers and social channels</t>
  </si>
  <si>
    <t>3 — plant-based/natural positioning is visibly used in product presentation; strong packaging differentiation not independently established</t>
  </si>
  <si>
    <t>5 — 22,686 total reviews; 20,712 product reviews</t>
  </si>
  <si>
    <t>3 — feminine hygiene customers and sustainability-oriented consumers are targeted; income/purchasing power not verified</t>
  </si>
  <si>
    <t>2 — existing physical-store presence documented in multiple Tamil Nadu cities</t>
  </si>
  <si>
    <t>4 — active multi-platform presence</t>
  </si>
  <si>
    <t>4 — 50,000+ customers reported by 2023; 4 lakh+ women currently claimed by brand</t>
  </si>
  <si>
    <t>Boondh</t>
  </si>
  <si>
    <t>CleanFlow</t>
  </si>
  <si>
    <t>Carbamide forte</t>
  </si>
  <si>
    <t>Carmesi</t>
  </si>
  <si>
    <t>Cosmix Wellness</t>
  </si>
  <si>
    <t>Feminy</t>
  </si>
  <si>
    <t>Flawsome</t>
  </si>
  <si>
    <t>EM5</t>
  </si>
  <si>
    <t>Gargi</t>
  </si>
  <si>
    <t>Evolve Essentials</t>
  </si>
  <si>
    <t>Fast&amp;Up</t>
  </si>
  <si>
    <t>GynoCup</t>
  </si>
  <si>
    <t>Healthfab</t>
  </si>
  <si>
    <t>Healthyhey</t>
  </si>
  <si>
    <t>HerPeriod</t>
  </si>
  <si>
    <t>Heyday</t>
  </si>
  <si>
    <t>Hoop</t>
  </si>
  <si>
    <t>India Hemp Organics</t>
  </si>
  <si>
    <t>Laiqa</t>
  </si>
  <si>
    <t>Lesscare</t>
  </si>
  <si>
    <t>Machau Bamboo</t>
  </si>
  <si>
    <t>Mahina</t>
  </si>
  <si>
    <t>Man Matters</t>
  </si>
  <si>
    <t>Menhood</t>
  </si>
  <si>
    <t>Moon cycle</t>
  </si>
  <si>
    <t>MoonCare</t>
  </si>
  <si>
    <t>Naarica</t>
  </si>
  <si>
    <t>NaturaPad</t>
  </si>
  <si>
    <t>Niine</t>
  </si>
  <si>
    <t>Nua Woman</t>
  </si>
  <si>
    <t>Nushu</t>
  </si>
  <si>
    <t>Nutrainix</t>
  </si>
  <si>
    <t>Origin Nutrition</t>
  </si>
  <si>
    <t>Padcare Labs</t>
  </si>
  <si>
    <t>Palmonas</t>
  </si>
  <si>
    <t>Panash Wellness</t>
  </si>
  <si>
    <t>Period Essentials</t>
  </si>
  <si>
    <t>Pro-Ease Eco</t>
  </si>
  <si>
    <t>Pure nutrition</t>
  </si>
  <si>
    <t>PureCycle</t>
  </si>
  <si>
    <t>PureFlow</t>
  </si>
  <si>
    <t>Rabitat</t>
  </si>
  <si>
    <t>RedCare Organic</t>
  </si>
  <si>
    <t>ReliefPad</t>
  </si>
  <si>
    <t>Roo&amp;Moo</t>
  </si>
  <si>
    <t>Saathi</t>
  </si>
  <si>
    <t>Sanfe</t>
  </si>
  <si>
    <t>Saturn by GHC</t>
  </si>
  <si>
    <t>Setu</t>
  </si>
  <si>
    <t>SheCup</t>
  </si>
  <si>
    <t>Silky Cup</t>
  </si>
  <si>
    <t>Sirona</t>
  </si>
  <si>
    <t>SochGreen</t>
  </si>
  <si>
    <t>SoftFlow</t>
  </si>
  <si>
    <t>Soothe</t>
  </si>
  <si>
    <t>Soothe Healthcare</t>
  </si>
  <si>
    <t>Sparkle</t>
  </si>
  <si>
    <t>Stayzy Hygiene</t>
  </si>
  <si>
    <t>Stonesoup</t>
  </si>
  <si>
    <t>Sunscoop</t>
  </si>
  <si>
    <t>SuperBottoms</t>
  </si>
  <si>
    <t>Sustainable Stree</t>
  </si>
  <si>
    <t>Swara Baby</t>
  </si>
  <si>
    <t>Little Joy</t>
  </si>
  <si>
    <t>The Body Bucket</t>
  </si>
  <si>
    <t>The Woman's Company</t>
  </si>
  <si>
    <t>Ustraa</t>
  </si>
  <si>
    <t>Vaanaya Health</t>
  </si>
  <si>
    <t>Vedic Virtues</t>
  </si>
  <si>
    <t>Vedicline</t>
  </si>
  <si>
    <t>Vilvah</t>
  </si>
  <si>
    <t>Papaya</t>
  </si>
  <si>
    <t>Plix</t>
  </si>
  <si>
    <t>Plush</t>
  </si>
  <si>
    <t>Polka Pop</t>
  </si>
  <si>
    <t>Wild Stone Code</t>
  </si>
  <si>
    <t>Clensta</t>
  </si>
  <si>
    <t>The Good Bug</t>
  </si>
  <si>
    <t>Wellbeing Nutrition</t>
  </si>
  <si>
    <t>What's Up Wellness</t>
  </si>
  <si>
    <t>GladFul</t>
  </si>
  <si>
    <t>trunativ</t>
  </si>
  <si>
    <t>Auric</t>
  </si>
  <si>
    <t>powergummies</t>
  </si>
  <si>
    <t>Yoga bar</t>
  </si>
  <si>
    <t>My fitness</t>
  </si>
  <si>
    <t>Max Protein</t>
  </si>
  <si>
    <t>Wellversed</t>
  </si>
  <si>
    <t>Rasayanam</t>
  </si>
  <si>
    <t>AURIC</t>
  </si>
  <si>
    <t>Iyurved</t>
  </si>
  <si>
    <t>The Divine Foods</t>
  </si>
  <si>
    <t>SCORING</t>
  </si>
  <si>
    <t>0 = No fit</t>
  </si>
  <si>
    <t>1 = Very weak</t>
  </si>
  <si>
    <t>2 = Weak</t>
  </si>
  <si>
    <t>3 = Acceptable</t>
  </si>
  <si>
    <t>4 = Strong</t>
  </si>
  <si>
    <t>5 = Excellent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</si>
</sst>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3.0"/>
      <color rgb="FFFFFFFF"/>
      <name val="Calibri"/>
    </font>
    <font/>
    <font>
      <sz val="11.0"/>
      <color theme="1"/>
      <name val="Calibri"/>
    </font>
    <font>
      <b/>
      <sz val="10.0"/>
      <color rgb="FFFFFFFF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ill="1" applyFont="1">
      <alignment shrinkToFit="0" vertical="top" wrapText="1"/>
    </xf>
    <xf borderId="3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4" fillId="0" fontId="3" numFmtId="0" xfId="0" applyBorder="1" applyFont="1"/>
    <xf borderId="0" fillId="0" fontId="4" numFmtId="0" xfId="0" applyAlignment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2" fillId="2" fontId="1" numFmtId="0" xfId="0" applyAlignment="1" applyBorder="1" applyFill="1" applyFont="1">
      <alignment shrinkToFit="0" vertical="top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3" fontId="6" numFmtId="0" xfId="0" applyBorder="1" applyFill="1" applyFont="1"/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1" fillId="0" fontId="4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vertical="center" wrapText="0"/>
    </xf>
    <xf borderId="1" fillId="2" fontId="1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4" pivot="0" name="Brand Curation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103" displayName="BrandCurationTable" name="BrandCurationTable" id="1">
  <tableColumns count="22">
    <tableColumn name="Brand Name" id="1"/>
    <tableColumn name="Product price fit" id="2"/>
    <tableColumn name="High-margin products" id="3"/>
    <tableColumn name="Repeat customers" id="4"/>
    <tableColumn name="Revenue-generating brand" id="5"/>
    <tableColumn name="Digital PMF" id="6"/>
    <tableColumn name="In-demand category" id="7"/>
    <tableColumn name="Active marketing" id="8"/>
    <tableColumn name="Quick-commerce presence" id="9"/>
    <tableColumn name="Bengaluru based" id="10"/>
    <tableColumn name="Distinctive packaging" id="11"/>
    <tableColumn name="Customer reviews" id="12"/>
    <tableColumn name="High-value audience" id="13"/>
    <tableColumn name="Willingness to pay for visibility" id="14"/>
    <tableColumn name="Offline distribution whitespace" id="15"/>
    <tableColumn name="Retailer demand fit" id="16"/>
    <tableColumn name="Social media presence" id="17"/>
    <tableColumn name="Proven sell-through" id="18"/>
    <tableColumn name="Shelf-ready packaging" id="19"/>
    <tableColumn name="Weighted Score (%)" id="20"/>
    <tableColumn name="Final Decision" id="21"/>
    <tableColumn name="Notes" id="22"/>
  </tableColumns>
  <tableStyleInfo name="Brand Curation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5.0"/>
    <col customWidth="1" min="2" max="19" width="16.0"/>
    <col customWidth="1" min="20" max="21" width="18.0"/>
    <col customWidth="1" min="22" max="22" width="32.0"/>
    <col customWidth="1" min="23" max="26" width="8.71"/>
  </cols>
  <sheetData>
    <row r="1" ht="54.75" customHeight="1">
      <c r="A1" s="9" t="s">
        <v>50</v>
      </c>
      <c r="B1" s="9" t="s">
        <v>6</v>
      </c>
      <c r="C1" s="9" t="s">
        <v>11</v>
      </c>
      <c r="D1" s="9" t="s">
        <v>13</v>
      </c>
      <c r="E1" s="9" t="s">
        <v>18</v>
      </c>
      <c r="F1" s="9" t="s">
        <v>22</v>
      </c>
      <c r="G1" s="9" t="s">
        <v>24</v>
      </c>
      <c r="H1" s="9" t="s">
        <v>29</v>
      </c>
      <c r="I1" s="9" t="s">
        <v>32</v>
      </c>
      <c r="J1" s="9" t="s">
        <v>70</v>
      </c>
      <c r="K1" s="9" t="s">
        <v>40</v>
      </c>
      <c r="L1" s="9" t="s">
        <v>43</v>
      </c>
      <c r="M1" s="9" t="s">
        <v>45</v>
      </c>
      <c r="N1" s="9" t="s">
        <v>48</v>
      </c>
      <c r="O1" s="9" t="s">
        <v>51</v>
      </c>
      <c r="P1" s="9" t="s">
        <v>59</v>
      </c>
      <c r="Q1" s="9" t="s">
        <v>63</v>
      </c>
      <c r="R1" s="9" t="s">
        <v>65</v>
      </c>
      <c r="S1" s="9" t="s">
        <v>67</v>
      </c>
      <c r="T1" s="9" t="s">
        <v>71</v>
      </c>
      <c r="U1" s="9" t="s">
        <v>72</v>
      </c>
      <c r="V1" s="9" t="s">
        <v>73</v>
      </c>
    </row>
    <row r="2" ht="14.25" customHeight="1">
      <c r="A2" s="11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 t="str">
        <f>IF(COUNTA(B2:S2)=0,"",ROUND(B2/5*4+C2/5*5+D2/5*4+E2/5*5+F2/5*7+G2/5*8+#REF!/5*4+H2/5*3+I2/5*2+J2/5*3+K2/5*3+L2/5*5+M2/5*3+N2/5*7+O2/5*3+#REF!/5*3+#REF!/5*2+#REF!/5*7+P2/5*7+#REF!/5*4+Q2/5*1+R2/5*7+S2/5*3,1))</f>
        <v/>
      </c>
      <c r="U2" s="12" t="str">
        <f>IF(T2="","",IF(T2&gt;=70,"SELECTED","NOT SELECTED"))</f>
        <v/>
      </c>
      <c r="V2" s="11"/>
    </row>
    <row r="3" ht="14.25" customHeight="1">
      <c r="A3" s="11" t="s">
        <v>75</v>
      </c>
      <c r="B3" s="13">
        <v>3.0</v>
      </c>
      <c r="C3" s="14"/>
      <c r="D3" s="14"/>
      <c r="E3" s="13">
        <v>5.0</v>
      </c>
      <c r="F3" s="13">
        <v>5.0</v>
      </c>
      <c r="G3" s="13">
        <v>5.0</v>
      </c>
      <c r="H3" s="13">
        <v>4.0</v>
      </c>
      <c r="I3" s="13">
        <v>5.0</v>
      </c>
      <c r="J3" s="13">
        <v>0.0</v>
      </c>
      <c r="K3" s="14"/>
      <c r="L3" s="13">
        <v>4.0</v>
      </c>
      <c r="M3" s="14"/>
      <c r="N3" s="14"/>
      <c r="O3" s="14"/>
      <c r="P3" s="14"/>
      <c r="Q3" s="14"/>
      <c r="R3" s="13">
        <v>5.0</v>
      </c>
      <c r="S3" s="11"/>
      <c r="T3" s="12"/>
      <c r="U3" s="12"/>
      <c r="V3" s="11"/>
    </row>
    <row r="4" ht="14.25" customHeight="1">
      <c r="A4" s="11" t="s">
        <v>76</v>
      </c>
      <c r="B4" s="13">
        <v>5.0</v>
      </c>
      <c r="C4" s="14"/>
      <c r="D4" s="14" t="s">
        <v>77</v>
      </c>
      <c r="E4" s="14"/>
      <c r="F4" s="14" t="s">
        <v>78</v>
      </c>
      <c r="G4" s="14" t="s">
        <v>79</v>
      </c>
      <c r="H4" s="14" t="s">
        <v>80</v>
      </c>
      <c r="I4" s="14"/>
      <c r="J4" s="14" t="s">
        <v>81</v>
      </c>
      <c r="K4" s="14" t="s">
        <v>82</v>
      </c>
      <c r="L4" s="14" t="s">
        <v>83</v>
      </c>
      <c r="M4" s="14"/>
      <c r="N4" s="14"/>
      <c r="O4" s="14"/>
      <c r="P4" s="14"/>
      <c r="Q4" s="14" t="s">
        <v>84</v>
      </c>
      <c r="R4" s="14"/>
      <c r="S4" s="11"/>
      <c r="T4" s="12" t="str">
        <f t="shared" ref="T4:T11" si="1">IF(COUNTA(B4:S4)=0,"",ROUND(B4/5*4+C4/5*5+D4/5*4+E4/5*5+F4/5*7+G4/5*8+#REF!/5*4+H4/5*3+I4/5*2+J4/5*3+K4/5*3+L4/5*5+M4/5*3+N4/5*7+O4/5*3+#REF!/5*3+#REF!/5*2+#REF!/5*7+P4/5*7+#REF!/5*4+Q4/5*1+R4/5*7+S4/5*3,1))</f>
        <v>#VALUE!</v>
      </c>
      <c r="U4" s="12" t="str">
        <f t="shared" ref="U4:U100" si="2">IF(T4="","",IF(T4&gt;=70,"SELECTED","NOT SELECTED"))</f>
        <v>#VALUE!</v>
      </c>
      <c r="V4" s="11"/>
    </row>
    <row r="5" ht="14.25" customHeight="1">
      <c r="A5" s="11" t="s">
        <v>85</v>
      </c>
      <c r="B5" s="14" t="s">
        <v>86</v>
      </c>
      <c r="C5" s="14"/>
      <c r="D5" s="14"/>
      <c r="E5" s="14" t="s">
        <v>87</v>
      </c>
      <c r="F5" s="14"/>
      <c r="G5" s="14" t="s">
        <v>88</v>
      </c>
      <c r="H5" s="14" t="s">
        <v>89</v>
      </c>
      <c r="I5" s="14"/>
      <c r="J5" s="14" t="s">
        <v>90</v>
      </c>
      <c r="K5" s="14"/>
      <c r="L5" s="14" t="s">
        <v>91</v>
      </c>
      <c r="M5" s="14"/>
      <c r="N5" s="14"/>
      <c r="O5" s="14"/>
      <c r="P5" s="14"/>
      <c r="Q5" s="14"/>
      <c r="R5" s="14"/>
      <c r="S5" s="11"/>
      <c r="T5" s="12" t="str">
        <f t="shared" si="1"/>
        <v>#VALUE!</v>
      </c>
      <c r="U5" s="12" t="str">
        <f t="shared" si="2"/>
        <v>#VALUE!</v>
      </c>
      <c r="V5" s="11"/>
    </row>
    <row r="6" ht="14.25" customHeight="1">
      <c r="A6" s="11" t="s">
        <v>92</v>
      </c>
      <c r="B6" s="14" t="s">
        <v>93</v>
      </c>
      <c r="C6" s="14"/>
      <c r="D6" s="14" t="s">
        <v>94</v>
      </c>
      <c r="E6" s="14"/>
      <c r="F6" s="14" t="s">
        <v>95</v>
      </c>
      <c r="G6" s="14" t="s">
        <v>96</v>
      </c>
      <c r="H6" s="14" t="s">
        <v>97</v>
      </c>
      <c r="I6" s="14"/>
      <c r="J6" s="14"/>
      <c r="K6" s="14" t="s">
        <v>98</v>
      </c>
      <c r="L6" s="14" t="s">
        <v>99</v>
      </c>
      <c r="M6" s="14"/>
      <c r="N6" s="14"/>
      <c r="O6" s="14"/>
      <c r="P6" s="14"/>
      <c r="Q6" s="14"/>
      <c r="R6" s="14" t="s">
        <v>100</v>
      </c>
      <c r="S6" s="11"/>
      <c r="T6" s="12" t="str">
        <f t="shared" si="1"/>
        <v>#VALUE!</v>
      </c>
      <c r="U6" s="12" t="str">
        <f t="shared" si="2"/>
        <v>#VALUE!</v>
      </c>
      <c r="V6" s="11"/>
    </row>
    <row r="7" ht="14.25" customHeight="1">
      <c r="A7" s="11" t="s">
        <v>101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 t="str">
        <f t="shared" si="1"/>
        <v/>
      </c>
      <c r="U7" s="12" t="str">
        <f t="shared" si="2"/>
        <v/>
      </c>
      <c r="V7" s="11"/>
    </row>
    <row r="8" ht="14.25" customHeight="1">
      <c r="A8" s="11" t="s">
        <v>102</v>
      </c>
      <c r="B8" s="14" t="s">
        <v>103</v>
      </c>
      <c r="C8" s="14"/>
      <c r="D8" s="14" t="s">
        <v>104</v>
      </c>
      <c r="E8" s="14" t="s">
        <v>105</v>
      </c>
      <c r="F8" s="14" t="s">
        <v>106</v>
      </c>
      <c r="G8" s="14" t="s">
        <v>107</v>
      </c>
      <c r="H8" s="14" t="s">
        <v>108</v>
      </c>
      <c r="I8" s="14" t="s">
        <v>109</v>
      </c>
      <c r="J8" s="14" t="s">
        <v>110</v>
      </c>
      <c r="K8" s="14" t="s">
        <v>111</v>
      </c>
      <c r="L8" s="14" t="s">
        <v>112</v>
      </c>
      <c r="M8" s="14"/>
      <c r="N8" s="14"/>
      <c r="O8" s="14"/>
      <c r="P8" s="14"/>
      <c r="Q8" s="14"/>
      <c r="R8" s="14" t="s">
        <v>113</v>
      </c>
      <c r="S8" s="11"/>
      <c r="T8" s="12" t="str">
        <f t="shared" si="1"/>
        <v>#VALUE!</v>
      </c>
      <c r="U8" s="12" t="str">
        <f t="shared" si="2"/>
        <v>#VALUE!</v>
      </c>
      <c r="V8" s="11"/>
    </row>
    <row r="9" ht="14.25" customHeight="1">
      <c r="A9" s="11" t="s">
        <v>114</v>
      </c>
      <c r="B9" s="14" t="s">
        <v>115</v>
      </c>
      <c r="C9" s="14"/>
      <c r="D9" s="14"/>
      <c r="E9" s="14"/>
      <c r="F9" s="14" t="s">
        <v>116</v>
      </c>
      <c r="G9" s="14" t="s">
        <v>117</v>
      </c>
      <c r="H9" s="14" t="s">
        <v>118</v>
      </c>
      <c r="I9" s="14"/>
      <c r="J9" s="14"/>
      <c r="K9" s="14"/>
      <c r="L9" s="14"/>
      <c r="M9" s="14" t="s">
        <v>119</v>
      </c>
      <c r="N9" s="14"/>
      <c r="O9" s="14"/>
      <c r="P9" s="14"/>
      <c r="Q9" s="14" t="s">
        <v>120</v>
      </c>
      <c r="R9" s="14"/>
      <c r="S9" s="11"/>
      <c r="T9" s="12" t="str">
        <f t="shared" si="1"/>
        <v>#VALUE!</v>
      </c>
      <c r="U9" s="12" t="str">
        <f t="shared" si="2"/>
        <v>#VALUE!</v>
      </c>
      <c r="V9" s="11"/>
    </row>
    <row r="10" ht="14.25" customHeight="1">
      <c r="A10" s="11" t="s">
        <v>121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 t="str">
        <f t="shared" si="1"/>
        <v/>
      </c>
      <c r="U10" s="12" t="str">
        <f t="shared" si="2"/>
        <v/>
      </c>
      <c r="V10" s="11"/>
    </row>
    <row r="11" ht="14.25" customHeight="1">
      <c r="A11" s="11" t="s">
        <v>122</v>
      </c>
      <c r="B11" s="14" t="s">
        <v>123</v>
      </c>
      <c r="C11" s="14"/>
      <c r="D11" s="14" t="s">
        <v>124</v>
      </c>
      <c r="E11" s="14" t="s">
        <v>125</v>
      </c>
      <c r="F11" s="14" t="s">
        <v>126</v>
      </c>
      <c r="G11" s="14" t="s">
        <v>127</v>
      </c>
      <c r="H11" s="14" t="s">
        <v>128</v>
      </c>
      <c r="I11" s="14"/>
      <c r="J11" s="14"/>
      <c r="K11" s="14" t="s">
        <v>129</v>
      </c>
      <c r="L11" s="14" t="s">
        <v>130</v>
      </c>
      <c r="M11" s="14" t="s">
        <v>131</v>
      </c>
      <c r="N11" s="14"/>
      <c r="O11" s="14" t="s">
        <v>132</v>
      </c>
      <c r="P11" s="14"/>
      <c r="Q11" s="14" t="s">
        <v>133</v>
      </c>
      <c r="R11" s="14" t="s">
        <v>134</v>
      </c>
      <c r="S11" s="11"/>
      <c r="T11" s="12" t="str">
        <f t="shared" si="1"/>
        <v>#VALUE!</v>
      </c>
      <c r="U11" s="12" t="str">
        <f t="shared" si="2"/>
        <v>#VALUE!</v>
      </c>
      <c r="V11" s="11"/>
    </row>
    <row r="12" ht="14.25" customHeight="1">
      <c r="A12" s="11" t="s">
        <v>135</v>
      </c>
      <c r="B12" s="11">
        <v>4.0</v>
      </c>
      <c r="C12" s="11">
        <v>3.0</v>
      </c>
      <c r="D12" s="11">
        <v>3.0</v>
      </c>
      <c r="E12" s="11">
        <v>4.0</v>
      </c>
      <c r="F12" s="11">
        <v>3.0</v>
      </c>
      <c r="G12" s="11">
        <v>4.0</v>
      </c>
      <c r="H12" s="11">
        <v>3.0</v>
      </c>
      <c r="I12" s="11">
        <v>2.0</v>
      </c>
      <c r="J12" s="11">
        <v>5.0</v>
      </c>
      <c r="K12" s="11">
        <v>3.0</v>
      </c>
      <c r="L12" s="11">
        <v>4.0</v>
      </c>
      <c r="M12" s="11">
        <v>3.0</v>
      </c>
      <c r="N12" s="11">
        <v>2.0</v>
      </c>
      <c r="O12" s="11">
        <v>3.0</v>
      </c>
      <c r="P12" s="11">
        <v>3.0</v>
      </c>
      <c r="Q12" s="11">
        <v>3.0</v>
      </c>
      <c r="R12" s="11">
        <v>3.0</v>
      </c>
      <c r="S12" s="11"/>
      <c r="T12" s="12">
        <f t="shared" ref="T12:T42" si="3">IF(COUNTA(B12:S12)=0,"",ROUND(B12/5*4+C12/5*5+D12/5*4+E12/5*5+F12/5*7+G12/5*8+H12/5*3+I12/5*2+J12/5*3+K12/5*3+L12/5*5+M12/5*3+N12/5*7+O12/5*3+P12/5*7+Q12/5*1+R12/5*7+S12/5*3,1))</f>
        <v>50</v>
      </c>
      <c r="U12" s="12" t="str">
        <f t="shared" si="2"/>
        <v>NOT SELECTED</v>
      </c>
      <c r="V12" s="11"/>
    </row>
    <row r="13" ht="14.25" customHeight="1">
      <c r="A13" s="11" t="s">
        <v>136</v>
      </c>
      <c r="B13" s="11">
        <v>3.0</v>
      </c>
      <c r="C13" s="11">
        <v>4.0</v>
      </c>
      <c r="D13" s="11">
        <v>4.0</v>
      </c>
      <c r="E13" s="11">
        <v>5.0</v>
      </c>
      <c r="F13" s="11">
        <v>4.0</v>
      </c>
      <c r="G13" s="11">
        <v>4.0</v>
      </c>
      <c r="H13" s="11">
        <v>2.0</v>
      </c>
      <c r="I13" s="11">
        <v>1.0</v>
      </c>
      <c r="J13" s="11"/>
      <c r="K13" s="11">
        <v>2.0</v>
      </c>
      <c r="L13" s="11">
        <v>4.0</v>
      </c>
      <c r="M13" s="11">
        <v>4.0</v>
      </c>
      <c r="N13" s="11">
        <v>2.0</v>
      </c>
      <c r="O13" s="11">
        <v>2.0</v>
      </c>
      <c r="P13" s="11">
        <v>4.0</v>
      </c>
      <c r="Q13" s="11">
        <v>2.0</v>
      </c>
      <c r="R13" s="11">
        <v>4.0</v>
      </c>
      <c r="S13" s="11"/>
      <c r="T13" s="12">
        <f t="shared" si="3"/>
        <v>51.4</v>
      </c>
      <c r="U13" s="12" t="str">
        <f t="shared" si="2"/>
        <v>NOT SELECTED</v>
      </c>
      <c r="V13" s="11"/>
    </row>
    <row r="14" ht="14.25" customHeight="1">
      <c r="A14" s="11" t="s">
        <v>137</v>
      </c>
      <c r="B14" s="11">
        <v>4.0</v>
      </c>
      <c r="C14" s="11">
        <v>4.0</v>
      </c>
      <c r="D14" s="11">
        <v>4.0</v>
      </c>
      <c r="E14" s="11">
        <v>5.0</v>
      </c>
      <c r="F14" s="11">
        <v>5.0</v>
      </c>
      <c r="G14" s="11">
        <v>5.0</v>
      </c>
      <c r="H14" s="11">
        <v>5.0</v>
      </c>
      <c r="I14" s="11">
        <v>4.0</v>
      </c>
      <c r="J14" s="11"/>
      <c r="K14" s="11">
        <v>3.0</v>
      </c>
      <c r="L14" s="11">
        <v>4.0</v>
      </c>
      <c r="M14" s="11">
        <v>3.0</v>
      </c>
      <c r="N14" s="11">
        <v>4.0</v>
      </c>
      <c r="O14" s="11">
        <v>2.0</v>
      </c>
      <c r="P14" s="11">
        <v>4.0</v>
      </c>
      <c r="Q14" s="11">
        <v>4.0</v>
      </c>
      <c r="R14" s="11">
        <v>5.0</v>
      </c>
      <c r="S14" s="11"/>
      <c r="T14" s="12">
        <f t="shared" si="3"/>
        <v>62.8</v>
      </c>
      <c r="U14" s="12" t="str">
        <f t="shared" si="2"/>
        <v>NOT SELECTED</v>
      </c>
      <c r="V14" s="11"/>
    </row>
    <row r="15" ht="14.25" customHeight="1">
      <c r="A15" s="11" t="s">
        <v>138</v>
      </c>
      <c r="B15" s="11">
        <v>3.0</v>
      </c>
      <c r="C15" s="11">
        <v>4.0</v>
      </c>
      <c r="D15" s="11">
        <v>3.0</v>
      </c>
      <c r="E15" s="11">
        <v>5.0</v>
      </c>
      <c r="F15" s="11">
        <v>4.0</v>
      </c>
      <c r="G15" s="11">
        <v>5.0</v>
      </c>
      <c r="H15" s="11">
        <v>4.0</v>
      </c>
      <c r="I15" s="11">
        <v>4.0</v>
      </c>
      <c r="J15" s="11"/>
      <c r="K15" s="11">
        <v>4.0</v>
      </c>
      <c r="L15" s="11">
        <v>4.0</v>
      </c>
      <c r="M15" s="11">
        <v>4.0</v>
      </c>
      <c r="N15" s="11">
        <v>4.0</v>
      </c>
      <c r="O15" s="11">
        <v>2.0</v>
      </c>
      <c r="P15" s="11">
        <v>4.0</v>
      </c>
      <c r="Q15" s="11">
        <v>4.0</v>
      </c>
      <c r="R15" s="11">
        <v>4.0</v>
      </c>
      <c r="S15" s="11"/>
      <c r="T15" s="12">
        <f t="shared" si="3"/>
        <v>59</v>
      </c>
      <c r="U15" s="12" t="str">
        <f t="shared" si="2"/>
        <v>NOT SELECTED</v>
      </c>
      <c r="V15" s="11"/>
    </row>
    <row r="16" ht="14.25" customHeight="1">
      <c r="A16" s="11" t="s">
        <v>139</v>
      </c>
      <c r="B16" s="11">
        <v>3.0</v>
      </c>
      <c r="C16" s="11">
        <v>4.0</v>
      </c>
      <c r="D16" s="11">
        <v>4.0</v>
      </c>
      <c r="E16" s="11">
        <v>5.0</v>
      </c>
      <c r="F16" s="11">
        <v>5.0</v>
      </c>
      <c r="G16" s="11">
        <v>5.0</v>
      </c>
      <c r="H16" s="11">
        <v>4.0</v>
      </c>
      <c r="I16" s="11">
        <v>3.0</v>
      </c>
      <c r="J16" s="11"/>
      <c r="K16" s="11">
        <v>4.0</v>
      </c>
      <c r="L16" s="11">
        <v>4.0</v>
      </c>
      <c r="M16" s="11">
        <v>4.0</v>
      </c>
      <c r="N16" s="11">
        <v>3.0</v>
      </c>
      <c r="O16" s="11">
        <v>3.0</v>
      </c>
      <c r="P16" s="11">
        <v>4.0</v>
      </c>
      <c r="Q16" s="11">
        <v>5.0</v>
      </c>
      <c r="R16" s="11">
        <v>4.0</v>
      </c>
      <c r="S16" s="11"/>
      <c r="T16" s="12">
        <f t="shared" si="3"/>
        <v>60.2</v>
      </c>
      <c r="U16" s="12" t="str">
        <f t="shared" si="2"/>
        <v>NOT SELECTED</v>
      </c>
      <c r="V16" s="11"/>
    </row>
    <row r="17" ht="14.25" customHeight="1">
      <c r="A17" s="11" t="s">
        <v>140</v>
      </c>
      <c r="B17" s="11">
        <v>4.0</v>
      </c>
      <c r="C17" s="11">
        <v>3.0</v>
      </c>
      <c r="D17" s="11">
        <v>3.0</v>
      </c>
      <c r="E17" s="11">
        <v>4.0</v>
      </c>
      <c r="F17" s="11">
        <v>3.0</v>
      </c>
      <c r="G17" s="11">
        <v>4.0</v>
      </c>
      <c r="H17" s="11">
        <v>2.0</v>
      </c>
      <c r="I17" s="11">
        <v>2.0</v>
      </c>
      <c r="J17" s="11"/>
      <c r="K17" s="11">
        <v>3.0</v>
      </c>
      <c r="L17" s="11">
        <v>3.0</v>
      </c>
      <c r="M17" s="11">
        <v>2.0</v>
      </c>
      <c r="N17" s="11">
        <v>2.0</v>
      </c>
      <c r="O17" s="11">
        <v>3.0</v>
      </c>
      <c r="P17" s="11">
        <v>3.0</v>
      </c>
      <c r="Q17" s="11">
        <v>2.0</v>
      </c>
      <c r="R17" s="11">
        <v>3.0</v>
      </c>
      <c r="S17" s="11"/>
      <c r="T17" s="12">
        <f t="shared" si="3"/>
        <v>44.6</v>
      </c>
      <c r="U17" s="12" t="str">
        <f t="shared" si="2"/>
        <v>NOT SELECTED</v>
      </c>
      <c r="V17" s="11"/>
    </row>
    <row r="18" ht="14.25" customHeight="1">
      <c r="A18" s="11" t="s">
        <v>141</v>
      </c>
      <c r="B18" s="11">
        <v>3.0</v>
      </c>
      <c r="C18" s="11">
        <v>4.0</v>
      </c>
      <c r="D18" s="11">
        <v>3.0</v>
      </c>
      <c r="E18" s="11">
        <v>4.0</v>
      </c>
      <c r="F18" s="11">
        <v>4.0</v>
      </c>
      <c r="G18" s="11">
        <v>4.0</v>
      </c>
      <c r="H18" s="11">
        <v>3.0</v>
      </c>
      <c r="I18" s="11">
        <v>3.0</v>
      </c>
      <c r="J18" s="11"/>
      <c r="K18" s="11">
        <v>4.0</v>
      </c>
      <c r="L18" s="11">
        <v>4.0</v>
      </c>
      <c r="M18" s="11">
        <v>3.0</v>
      </c>
      <c r="N18" s="11">
        <v>3.0</v>
      </c>
      <c r="O18" s="11">
        <v>3.0</v>
      </c>
      <c r="P18" s="11">
        <v>4.0</v>
      </c>
      <c r="Q18" s="11">
        <v>3.0</v>
      </c>
      <c r="R18" s="11">
        <v>3.0</v>
      </c>
      <c r="S18" s="11"/>
      <c r="T18" s="12">
        <f t="shared" si="3"/>
        <v>52.4</v>
      </c>
      <c r="U18" s="12" t="str">
        <f t="shared" si="2"/>
        <v>NOT SELECTED</v>
      </c>
      <c r="V18" s="11"/>
    </row>
    <row r="19" ht="14.25" customHeight="1">
      <c r="A19" s="11" t="s">
        <v>142</v>
      </c>
      <c r="B19" s="11">
        <v>4.0</v>
      </c>
      <c r="C19" s="11">
        <v>4.0</v>
      </c>
      <c r="D19" s="11">
        <v>4.0</v>
      </c>
      <c r="E19" s="11">
        <v>5.0</v>
      </c>
      <c r="F19" s="11">
        <v>5.0</v>
      </c>
      <c r="G19" s="11">
        <v>5.0</v>
      </c>
      <c r="H19" s="11">
        <v>4.0</v>
      </c>
      <c r="I19" s="11">
        <v>3.0</v>
      </c>
      <c r="J19" s="11"/>
      <c r="K19" s="11">
        <v>4.0</v>
      </c>
      <c r="L19" s="11">
        <v>4.0</v>
      </c>
      <c r="M19" s="11">
        <v>3.0</v>
      </c>
      <c r="N19" s="11">
        <v>4.0</v>
      </c>
      <c r="O19" s="11">
        <v>2.0</v>
      </c>
      <c r="P19" s="11">
        <v>4.0</v>
      </c>
      <c r="Q19" s="11">
        <v>4.0</v>
      </c>
      <c r="R19" s="11">
        <v>4.0</v>
      </c>
      <c r="S19" s="11"/>
      <c r="T19" s="12">
        <f t="shared" si="3"/>
        <v>61</v>
      </c>
      <c r="U19" s="12" t="str">
        <f t="shared" si="2"/>
        <v>NOT SELECTED</v>
      </c>
      <c r="V19" s="11"/>
    </row>
    <row r="20" ht="14.25" customHeight="1">
      <c r="A20" s="11" t="s">
        <v>143</v>
      </c>
      <c r="B20" s="11">
        <v>3.0</v>
      </c>
      <c r="C20" s="11">
        <v>4.0</v>
      </c>
      <c r="D20" s="11">
        <v>3.0</v>
      </c>
      <c r="E20" s="11">
        <v>5.0</v>
      </c>
      <c r="F20" s="11">
        <v>5.0</v>
      </c>
      <c r="G20" s="11">
        <v>5.0</v>
      </c>
      <c r="H20" s="11">
        <v>4.0</v>
      </c>
      <c r="I20" s="11">
        <v>3.0</v>
      </c>
      <c r="J20" s="11"/>
      <c r="K20" s="11">
        <v>4.0</v>
      </c>
      <c r="L20" s="11">
        <v>4.0</v>
      </c>
      <c r="M20" s="11">
        <v>4.0</v>
      </c>
      <c r="N20" s="11">
        <v>4.0</v>
      </c>
      <c r="O20" s="11">
        <v>3.0</v>
      </c>
      <c r="P20" s="11">
        <v>4.0</v>
      </c>
      <c r="Q20" s="11">
        <v>4.0</v>
      </c>
      <c r="R20" s="11">
        <v>5.0</v>
      </c>
      <c r="S20" s="11"/>
      <c r="T20" s="12">
        <f t="shared" si="3"/>
        <v>62</v>
      </c>
      <c r="U20" s="12" t="str">
        <f t="shared" si="2"/>
        <v>NOT SELECTED</v>
      </c>
      <c r="V20" s="11"/>
    </row>
    <row r="21" ht="14.25" customHeight="1">
      <c r="A21" s="11" t="s">
        <v>144</v>
      </c>
      <c r="B21" s="11">
        <v>3.0</v>
      </c>
      <c r="C21" s="11">
        <v>4.0</v>
      </c>
      <c r="D21" s="11">
        <v>3.0</v>
      </c>
      <c r="E21" s="11">
        <v>4.0</v>
      </c>
      <c r="F21" s="11">
        <v>4.0</v>
      </c>
      <c r="G21" s="11">
        <v>4.0</v>
      </c>
      <c r="H21" s="11">
        <v>2.0</v>
      </c>
      <c r="I21" s="11">
        <v>2.0</v>
      </c>
      <c r="J21" s="11"/>
      <c r="K21" s="11">
        <v>3.0</v>
      </c>
      <c r="L21" s="11">
        <v>4.0</v>
      </c>
      <c r="M21" s="11">
        <v>3.0</v>
      </c>
      <c r="N21" s="11">
        <v>3.0</v>
      </c>
      <c r="O21" s="11">
        <v>3.0</v>
      </c>
      <c r="P21" s="11">
        <v>3.0</v>
      </c>
      <c r="Q21" s="11">
        <v>3.0</v>
      </c>
      <c r="R21" s="11">
        <v>3.0</v>
      </c>
      <c r="S21" s="11"/>
      <c r="T21" s="12">
        <f t="shared" si="3"/>
        <v>49.4</v>
      </c>
      <c r="U21" s="12" t="str">
        <f t="shared" si="2"/>
        <v>NOT SELECTED</v>
      </c>
      <c r="V21" s="11"/>
    </row>
    <row r="22" ht="14.25" customHeight="1">
      <c r="A22" s="11" t="s">
        <v>145</v>
      </c>
      <c r="B22" s="15">
        <v>4.0</v>
      </c>
      <c r="C22" s="11">
        <v>4.0</v>
      </c>
      <c r="D22" s="15">
        <v>4.0</v>
      </c>
      <c r="E22" s="15">
        <v>5.0</v>
      </c>
      <c r="F22" s="15">
        <v>5.0</v>
      </c>
      <c r="G22" s="15">
        <v>5.0</v>
      </c>
      <c r="H22" s="15">
        <v>5.0</v>
      </c>
      <c r="I22" s="15">
        <v>4.0</v>
      </c>
      <c r="J22" s="11"/>
      <c r="K22" s="15">
        <v>4.0</v>
      </c>
      <c r="L22" s="15">
        <v>4.0</v>
      </c>
      <c r="M22" s="15">
        <v>4.0</v>
      </c>
      <c r="N22" s="15">
        <v>4.0</v>
      </c>
      <c r="O22" s="15">
        <v>2.0</v>
      </c>
      <c r="P22" s="15">
        <v>4.0</v>
      </c>
      <c r="Q22" s="15">
        <v>5.0</v>
      </c>
      <c r="R22" s="15">
        <v>5.0</v>
      </c>
      <c r="S22" s="11"/>
      <c r="T22" s="12">
        <f t="shared" si="3"/>
        <v>64.2</v>
      </c>
      <c r="U22" s="12" t="str">
        <f t="shared" si="2"/>
        <v>NOT SELECTED</v>
      </c>
      <c r="V22" s="11"/>
    </row>
    <row r="23" ht="14.25" customHeight="1">
      <c r="A23" s="11" t="s">
        <v>146</v>
      </c>
      <c r="B23" s="15">
        <v>4.0</v>
      </c>
      <c r="C23" s="11">
        <v>4.0</v>
      </c>
      <c r="D23" s="15">
        <v>3.0</v>
      </c>
      <c r="E23" s="15">
        <v>5.0</v>
      </c>
      <c r="F23" s="15">
        <v>4.0</v>
      </c>
      <c r="G23" s="15">
        <v>5.0</v>
      </c>
      <c r="H23" s="15">
        <v>4.0</v>
      </c>
      <c r="I23" s="15">
        <v>3.0</v>
      </c>
      <c r="J23" s="11"/>
      <c r="K23" s="15">
        <v>3.0</v>
      </c>
      <c r="L23" s="15">
        <v>4.0</v>
      </c>
      <c r="M23" s="15">
        <v>3.0</v>
      </c>
      <c r="N23" s="15">
        <v>3.0</v>
      </c>
      <c r="O23" s="15">
        <v>3.0</v>
      </c>
      <c r="P23" s="15">
        <v>4.0</v>
      </c>
      <c r="Q23" s="15">
        <v>4.0</v>
      </c>
      <c r="R23" s="15">
        <v>4.0</v>
      </c>
      <c r="S23" s="11"/>
      <c r="T23" s="12">
        <f t="shared" si="3"/>
        <v>57.4</v>
      </c>
      <c r="U23" s="12" t="str">
        <f t="shared" si="2"/>
        <v>NOT SELECTED</v>
      </c>
      <c r="V23" s="11"/>
    </row>
    <row r="24" ht="14.25" customHeight="1">
      <c r="A24" s="11" t="s">
        <v>147</v>
      </c>
      <c r="B24" s="15">
        <v>4.0</v>
      </c>
      <c r="C24" s="11">
        <v>4.0</v>
      </c>
      <c r="D24" s="15">
        <v>4.0</v>
      </c>
      <c r="E24" s="15">
        <v>5.0</v>
      </c>
      <c r="F24" s="15">
        <v>5.0</v>
      </c>
      <c r="G24" s="15">
        <v>5.0</v>
      </c>
      <c r="H24" s="15">
        <v>4.0</v>
      </c>
      <c r="I24" s="15">
        <v>3.0</v>
      </c>
      <c r="J24" s="11"/>
      <c r="K24" s="15">
        <v>3.0</v>
      </c>
      <c r="L24" s="15">
        <v>4.0</v>
      </c>
      <c r="M24" s="15">
        <v>3.0</v>
      </c>
      <c r="N24" s="15">
        <v>3.0</v>
      </c>
      <c r="O24" s="15">
        <v>3.0</v>
      </c>
      <c r="P24" s="15">
        <v>4.0</v>
      </c>
      <c r="Q24" s="15">
        <v>4.0</v>
      </c>
      <c r="R24" s="15">
        <v>4.0</v>
      </c>
      <c r="S24" s="11"/>
      <c r="T24" s="12">
        <f t="shared" si="3"/>
        <v>59.6</v>
      </c>
      <c r="U24" s="12" t="str">
        <f t="shared" si="2"/>
        <v>NOT SELECTED</v>
      </c>
      <c r="V24" s="11"/>
    </row>
    <row r="25" ht="14.25" customHeight="1">
      <c r="A25" s="11" t="s">
        <v>148</v>
      </c>
      <c r="B25" s="15">
        <v>4.0</v>
      </c>
      <c r="C25" s="11">
        <v>4.0</v>
      </c>
      <c r="D25" s="15">
        <v>4.0</v>
      </c>
      <c r="E25" s="15">
        <v>5.0</v>
      </c>
      <c r="F25" s="15">
        <v>5.0</v>
      </c>
      <c r="G25" s="15">
        <v>5.0</v>
      </c>
      <c r="H25" s="15">
        <v>4.0</v>
      </c>
      <c r="I25" s="15">
        <v>4.0</v>
      </c>
      <c r="J25" s="11"/>
      <c r="K25" s="15">
        <v>3.0</v>
      </c>
      <c r="L25" s="15">
        <v>4.0</v>
      </c>
      <c r="M25" s="15">
        <v>3.0</v>
      </c>
      <c r="N25" s="15">
        <v>3.0</v>
      </c>
      <c r="O25" s="15">
        <v>3.0</v>
      </c>
      <c r="P25" s="15">
        <v>4.0</v>
      </c>
      <c r="Q25" s="15">
        <v>4.0</v>
      </c>
      <c r="R25" s="15">
        <v>5.0</v>
      </c>
      <c r="S25" s="11"/>
      <c r="T25" s="12">
        <f t="shared" si="3"/>
        <v>61.4</v>
      </c>
      <c r="U25" s="12" t="str">
        <f t="shared" si="2"/>
        <v>NOT SELECTED</v>
      </c>
      <c r="V25" s="11"/>
    </row>
    <row r="26" ht="14.25" customHeight="1">
      <c r="A26" s="11" t="s">
        <v>149</v>
      </c>
      <c r="B26" s="15">
        <v>4.0</v>
      </c>
      <c r="C26" s="11">
        <v>4.0</v>
      </c>
      <c r="D26" s="15">
        <v>3.0</v>
      </c>
      <c r="E26" s="15">
        <v>4.0</v>
      </c>
      <c r="F26" s="15">
        <v>3.0</v>
      </c>
      <c r="G26" s="15">
        <v>4.0</v>
      </c>
      <c r="H26" s="15">
        <v>2.0</v>
      </c>
      <c r="I26" s="15">
        <v>2.0</v>
      </c>
      <c r="J26" s="11"/>
      <c r="K26" s="15">
        <v>3.0</v>
      </c>
      <c r="L26" s="15">
        <v>3.0</v>
      </c>
      <c r="M26" s="15">
        <v>3.0</v>
      </c>
      <c r="N26" s="15">
        <v>2.0</v>
      </c>
      <c r="O26" s="15">
        <v>3.0</v>
      </c>
      <c r="P26" s="15">
        <v>3.0</v>
      </c>
      <c r="Q26" s="15">
        <v>3.0</v>
      </c>
      <c r="R26" s="15">
        <v>3.0</v>
      </c>
      <c r="S26" s="11"/>
      <c r="T26" s="12">
        <f t="shared" si="3"/>
        <v>46.4</v>
      </c>
      <c r="U26" s="12" t="str">
        <f t="shared" si="2"/>
        <v>NOT SELECTED</v>
      </c>
      <c r="V26" s="11"/>
    </row>
    <row r="27" ht="14.25" customHeight="1">
      <c r="A27" s="11" t="s">
        <v>150</v>
      </c>
      <c r="B27" s="15">
        <v>4.0</v>
      </c>
      <c r="C27" s="15">
        <v>4.0</v>
      </c>
      <c r="D27" s="15">
        <v>4.0</v>
      </c>
      <c r="E27" s="15">
        <v>5.0</v>
      </c>
      <c r="F27" s="15">
        <v>5.0</v>
      </c>
      <c r="G27" s="15">
        <v>5.0</v>
      </c>
      <c r="H27" s="15">
        <v>4.0</v>
      </c>
      <c r="I27" s="15">
        <v>3.0</v>
      </c>
      <c r="J27" s="11"/>
      <c r="K27" s="15">
        <v>4.0</v>
      </c>
      <c r="L27" s="15">
        <v>4.0</v>
      </c>
      <c r="M27" s="15">
        <v>3.0</v>
      </c>
      <c r="N27" s="15">
        <v>3.0</v>
      </c>
      <c r="O27" s="15">
        <v>3.0</v>
      </c>
      <c r="P27" s="15">
        <v>4.0</v>
      </c>
      <c r="Q27" s="15">
        <v>4.0</v>
      </c>
      <c r="R27" s="15">
        <v>4.0</v>
      </c>
      <c r="S27" s="11"/>
      <c r="T27" s="12">
        <f t="shared" si="3"/>
        <v>60.2</v>
      </c>
      <c r="U27" s="12" t="str">
        <f t="shared" si="2"/>
        <v>NOT SELECTED</v>
      </c>
      <c r="V27" s="11"/>
    </row>
    <row r="28" ht="14.25" customHeight="1">
      <c r="A28" s="11" t="s">
        <v>151</v>
      </c>
      <c r="B28" s="15">
        <v>4.0</v>
      </c>
      <c r="C28" s="15">
        <v>4.0</v>
      </c>
      <c r="D28" s="15">
        <v>3.0</v>
      </c>
      <c r="E28" s="15">
        <v>4.0</v>
      </c>
      <c r="F28" s="15">
        <v>4.0</v>
      </c>
      <c r="G28" s="15">
        <v>5.0</v>
      </c>
      <c r="H28" s="15">
        <v>3.0</v>
      </c>
      <c r="I28" s="15">
        <v>3.0</v>
      </c>
      <c r="J28" s="11"/>
      <c r="K28" s="15">
        <v>4.0</v>
      </c>
      <c r="L28" s="15">
        <v>4.0</v>
      </c>
      <c r="M28" s="15">
        <v>3.0</v>
      </c>
      <c r="N28" s="15">
        <v>3.0</v>
      </c>
      <c r="O28" s="15">
        <v>3.0</v>
      </c>
      <c r="P28" s="15">
        <v>4.0</v>
      </c>
      <c r="Q28" s="15">
        <v>4.0</v>
      </c>
      <c r="R28" s="15">
        <v>3.0</v>
      </c>
      <c r="S28" s="11"/>
      <c r="T28" s="12">
        <f t="shared" si="3"/>
        <v>55</v>
      </c>
      <c r="U28" s="12" t="str">
        <f t="shared" si="2"/>
        <v>NOT SELECTED</v>
      </c>
      <c r="V28" s="11"/>
    </row>
    <row r="29" ht="14.25" customHeight="1">
      <c r="A29" s="11" t="s">
        <v>152</v>
      </c>
      <c r="B29" s="15">
        <v>4.0</v>
      </c>
      <c r="C29" s="15">
        <v>4.0</v>
      </c>
      <c r="D29" s="15">
        <v>4.0</v>
      </c>
      <c r="E29" s="15">
        <v>5.0</v>
      </c>
      <c r="F29" s="15">
        <v>5.0</v>
      </c>
      <c r="G29" s="15">
        <v>5.0</v>
      </c>
      <c r="H29" s="15">
        <v>4.0</v>
      </c>
      <c r="I29" s="15">
        <v>3.0</v>
      </c>
      <c r="J29" s="11"/>
      <c r="K29" s="15">
        <v>4.0</v>
      </c>
      <c r="L29" s="15">
        <v>4.0</v>
      </c>
      <c r="M29" s="15">
        <v>4.0</v>
      </c>
      <c r="N29" s="15">
        <v>3.0</v>
      </c>
      <c r="O29" s="15">
        <v>3.0</v>
      </c>
      <c r="P29" s="15">
        <v>4.0</v>
      </c>
      <c r="Q29" s="15">
        <v>4.0</v>
      </c>
      <c r="R29" s="15">
        <v>4.0</v>
      </c>
      <c r="S29" s="11"/>
      <c r="T29" s="12">
        <f t="shared" si="3"/>
        <v>60.8</v>
      </c>
      <c r="U29" s="12" t="str">
        <f t="shared" si="2"/>
        <v>NOT SELECTED</v>
      </c>
      <c r="V29" s="11"/>
    </row>
    <row r="30" ht="14.25" customHeight="1">
      <c r="A30" s="11" t="s">
        <v>153</v>
      </c>
      <c r="B30" s="15">
        <v>4.0</v>
      </c>
      <c r="C30" s="15">
        <v>4.0</v>
      </c>
      <c r="D30" s="15">
        <v>3.0</v>
      </c>
      <c r="E30" s="15">
        <v>5.0</v>
      </c>
      <c r="F30" s="15">
        <v>4.0</v>
      </c>
      <c r="G30" s="15">
        <v>5.0</v>
      </c>
      <c r="H30" s="15">
        <v>4.0</v>
      </c>
      <c r="I30" s="15">
        <v>3.0</v>
      </c>
      <c r="J30" s="11"/>
      <c r="K30" s="15">
        <v>4.0</v>
      </c>
      <c r="L30" s="15">
        <v>4.0</v>
      </c>
      <c r="M30" s="15">
        <v>3.0</v>
      </c>
      <c r="N30" s="15">
        <v>3.0</v>
      </c>
      <c r="O30" s="15">
        <v>3.0</v>
      </c>
      <c r="P30" s="15">
        <v>4.0</v>
      </c>
      <c r="Q30" s="15">
        <v>4.0</v>
      </c>
      <c r="R30" s="15">
        <v>4.0</v>
      </c>
      <c r="S30" s="11"/>
      <c r="T30" s="12">
        <f t="shared" si="3"/>
        <v>58</v>
      </c>
      <c r="U30" s="12" t="str">
        <f t="shared" si="2"/>
        <v>NOT SELECTED</v>
      </c>
      <c r="V30" s="11"/>
    </row>
    <row r="31" ht="14.25" customHeight="1">
      <c r="A31" s="11" t="s">
        <v>154</v>
      </c>
      <c r="B31" s="15">
        <v>4.0</v>
      </c>
      <c r="C31" s="15">
        <v>4.0</v>
      </c>
      <c r="D31" s="15">
        <v>4.0</v>
      </c>
      <c r="E31" s="15">
        <v>4.0</v>
      </c>
      <c r="F31" s="15">
        <v>5.0</v>
      </c>
      <c r="G31" s="15">
        <v>5.0</v>
      </c>
      <c r="H31" s="15">
        <v>4.0</v>
      </c>
      <c r="I31" s="15">
        <v>3.0</v>
      </c>
      <c r="J31" s="11"/>
      <c r="K31" s="15">
        <v>4.0</v>
      </c>
      <c r="L31" s="15">
        <v>4.0</v>
      </c>
      <c r="M31" s="15">
        <v>4.0</v>
      </c>
      <c r="N31" s="15">
        <v>4.0</v>
      </c>
      <c r="O31" s="15">
        <v>3.0</v>
      </c>
      <c r="P31" s="15">
        <v>4.0</v>
      </c>
      <c r="Q31" s="15">
        <v>5.0</v>
      </c>
      <c r="R31" s="15">
        <v>4.0</v>
      </c>
      <c r="S31" s="11"/>
      <c r="T31" s="12">
        <f t="shared" si="3"/>
        <v>61.4</v>
      </c>
      <c r="U31" s="12" t="str">
        <f t="shared" si="2"/>
        <v>NOT SELECTED</v>
      </c>
      <c r="V31" s="11"/>
    </row>
    <row r="32" ht="14.25" customHeight="1">
      <c r="A32" s="11" t="s">
        <v>155</v>
      </c>
      <c r="B32" s="15">
        <v>4.0</v>
      </c>
      <c r="C32" s="15">
        <v>3.0</v>
      </c>
      <c r="D32" s="15">
        <v>3.0</v>
      </c>
      <c r="E32" s="15">
        <v>4.0</v>
      </c>
      <c r="F32" s="15">
        <v>3.0</v>
      </c>
      <c r="G32" s="15">
        <v>4.0</v>
      </c>
      <c r="H32" s="15">
        <v>2.0</v>
      </c>
      <c r="I32" s="15">
        <v>2.0</v>
      </c>
      <c r="J32" s="11"/>
      <c r="K32" s="15">
        <v>3.0</v>
      </c>
      <c r="L32" s="15">
        <v>3.0</v>
      </c>
      <c r="M32" s="15">
        <v>3.0</v>
      </c>
      <c r="N32" s="15">
        <v>2.0</v>
      </c>
      <c r="O32" s="15">
        <v>3.0</v>
      </c>
      <c r="P32" s="15">
        <v>3.0</v>
      </c>
      <c r="Q32" s="15">
        <v>3.0</v>
      </c>
      <c r="R32" s="15">
        <v>3.0</v>
      </c>
      <c r="S32" s="11"/>
      <c r="T32" s="12">
        <f t="shared" si="3"/>
        <v>45.4</v>
      </c>
      <c r="U32" s="12" t="str">
        <f t="shared" si="2"/>
        <v>NOT SELECTED</v>
      </c>
      <c r="V32" s="11"/>
    </row>
    <row r="33" ht="14.25" customHeight="1">
      <c r="A33" s="11" t="s">
        <v>156</v>
      </c>
      <c r="B33" s="15">
        <v>4.0</v>
      </c>
      <c r="C33" s="15">
        <v>4.0</v>
      </c>
      <c r="D33" s="15">
        <v>4.0</v>
      </c>
      <c r="E33" s="15">
        <v>5.0</v>
      </c>
      <c r="F33" s="15">
        <v>5.0</v>
      </c>
      <c r="G33" s="15">
        <v>5.0</v>
      </c>
      <c r="H33" s="15">
        <v>4.0</v>
      </c>
      <c r="I33" s="15">
        <v>3.0</v>
      </c>
      <c r="J33" s="11"/>
      <c r="K33" s="15">
        <v>4.0</v>
      </c>
      <c r="L33" s="15">
        <v>4.0</v>
      </c>
      <c r="M33" s="15">
        <v>3.0</v>
      </c>
      <c r="N33" s="15">
        <v>3.0</v>
      </c>
      <c r="O33" s="15">
        <v>3.0</v>
      </c>
      <c r="P33" s="15">
        <v>4.0</v>
      </c>
      <c r="Q33" s="15">
        <v>4.0</v>
      </c>
      <c r="R33" s="15">
        <v>4.0</v>
      </c>
      <c r="S33" s="11"/>
      <c r="T33" s="12">
        <f t="shared" si="3"/>
        <v>60.2</v>
      </c>
      <c r="U33" s="12" t="str">
        <f t="shared" si="2"/>
        <v>NOT SELECTED</v>
      </c>
      <c r="V33" s="11"/>
    </row>
    <row r="34" ht="14.25" customHeight="1">
      <c r="A34" s="11" t="s">
        <v>157</v>
      </c>
      <c r="B34" s="15">
        <v>4.0</v>
      </c>
      <c r="C34" s="15">
        <v>4.0</v>
      </c>
      <c r="D34" s="15">
        <v>4.0</v>
      </c>
      <c r="E34" s="15">
        <v>5.0</v>
      </c>
      <c r="F34" s="15">
        <v>5.0</v>
      </c>
      <c r="G34" s="15">
        <v>5.0</v>
      </c>
      <c r="H34" s="15">
        <v>5.0</v>
      </c>
      <c r="I34" s="15">
        <v>4.0</v>
      </c>
      <c r="J34" s="11"/>
      <c r="K34" s="15">
        <v>4.0</v>
      </c>
      <c r="L34" s="15">
        <v>4.0</v>
      </c>
      <c r="M34" s="15">
        <v>4.0</v>
      </c>
      <c r="N34" s="15">
        <v>4.0</v>
      </c>
      <c r="O34" s="15">
        <v>2.0</v>
      </c>
      <c r="P34" s="15">
        <v>4.0</v>
      </c>
      <c r="Q34" s="15">
        <v>5.0</v>
      </c>
      <c r="R34" s="15">
        <v>5.0</v>
      </c>
      <c r="S34" s="11"/>
      <c r="T34" s="12">
        <f t="shared" si="3"/>
        <v>64.2</v>
      </c>
      <c r="U34" s="12" t="str">
        <f t="shared" si="2"/>
        <v>NOT SELECTED</v>
      </c>
      <c r="V34" s="11"/>
    </row>
    <row r="35" ht="14.25" customHeight="1">
      <c r="A35" s="11" t="s">
        <v>158</v>
      </c>
      <c r="B35" s="15">
        <v>4.0</v>
      </c>
      <c r="C35" s="15">
        <v>4.0</v>
      </c>
      <c r="D35" s="15">
        <v>3.0</v>
      </c>
      <c r="E35" s="15">
        <v>5.0</v>
      </c>
      <c r="F35" s="15">
        <v>5.0</v>
      </c>
      <c r="G35" s="15">
        <v>5.0</v>
      </c>
      <c r="H35" s="15">
        <v>4.0</v>
      </c>
      <c r="I35" s="15">
        <v>3.0</v>
      </c>
      <c r="J35" s="11"/>
      <c r="K35" s="15">
        <v>4.0</v>
      </c>
      <c r="L35" s="15">
        <v>4.0</v>
      </c>
      <c r="M35" s="15">
        <v>4.0</v>
      </c>
      <c r="N35" s="15">
        <v>4.0</v>
      </c>
      <c r="O35" s="15">
        <v>3.0</v>
      </c>
      <c r="P35" s="15">
        <v>4.0</v>
      </c>
      <c r="Q35" s="15">
        <v>4.0</v>
      </c>
      <c r="R35" s="15">
        <v>4.0</v>
      </c>
      <c r="S35" s="11"/>
      <c r="T35" s="12">
        <f t="shared" si="3"/>
        <v>61.4</v>
      </c>
      <c r="U35" s="12" t="str">
        <f t="shared" si="2"/>
        <v>NOT SELECTED</v>
      </c>
      <c r="V35" s="11"/>
    </row>
    <row r="36" ht="14.25" customHeight="1">
      <c r="A36" s="11" t="s">
        <v>159</v>
      </c>
      <c r="B36" s="15">
        <v>4.0</v>
      </c>
      <c r="C36" s="15">
        <v>4.0</v>
      </c>
      <c r="D36" s="15">
        <v>3.0</v>
      </c>
      <c r="E36" s="15">
        <v>4.0</v>
      </c>
      <c r="F36" s="15">
        <v>4.0</v>
      </c>
      <c r="G36" s="15">
        <v>5.0</v>
      </c>
      <c r="H36" s="15">
        <v>3.0</v>
      </c>
      <c r="I36" s="15">
        <v>3.0</v>
      </c>
      <c r="J36" s="11"/>
      <c r="K36" s="15">
        <v>3.0</v>
      </c>
      <c r="L36" s="15">
        <v>4.0</v>
      </c>
      <c r="M36" s="15">
        <v>3.0</v>
      </c>
      <c r="N36" s="15">
        <v>3.0</v>
      </c>
      <c r="O36" s="15">
        <v>3.0</v>
      </c>
      <c r="P36" s="15">
        <v>4.0</v>
      </c>
      <c r="Q36" s="15">
        <v>3.0</v>
      </c>
      <c r="R36" s="15">
        <v>3.0</v>
      </c>
      <c r="S36" s="11"/>
      <c r="T36" s="12">
        <f t="shared" si="3"/>
        <v>54.2</v>
      </c>
      <c r="U36" s="12" t="str">
        <f t="shared" si="2"/>
        <v>NOT SELECTED</v>
      </c>
      <c r="V36" s="11"/>
    </row>
    <row r="37" ht="14.25" customHeight="1">
      <c r="A37" s="11" t="s">
        <v>160</v>
      </c>
      <c r="B37" s="15">
        <v>4.0</v>
      </c>
      <c r="C37" s="15">
        <v>3.0</v>
      </c>
      <c r="D37" s="15">
        <v>3.0</v>
      </c>
      <c r="E37" s="15">
        <v>4.0</v>
      </c>
      <c r="F37" s="15">
        <v>3.0</v>
      </c>
      <c r="G37" s="15">
        <v>4.0</v>
      </c>
      <c r="H37" s="15">
        <v>2.0</v>
      </c>
      <c r="I37" s="15">
        <v>2.0</v>
      </c>
      <c r="J37" s="11"/>
      <c r="K37" s="15">
        <v>3.0</v>
      </c>
      <c r="L37" s="15">
        <v>3.0</v>
      </c>
      <c r="M37" s="15">
        <v>2.0</v>
      </c>
      <c r="N37" s="15">
        <v>2.0</v>
      </c>
      <c r="O37" s="15">
        <v>3.0</v>
      </c>
      <c r="P37" s="15">
        <v>3.0</v>
      </c>
      <c r="Q37" s="15">
        <v>2.0</v>
      </c>
      <c r="R37" s="15">
        <v>3.0</v>
      </c>
      <c r="S37" s="11"/>
      <c r="T37" s="12">
        <f t="shared" si="3"/>
        <v>44.6</v>
      </c>
      <c r="U37" s="12" t="str">
        <f t="shared" si="2"/>
        <v>NOT SELECTED</v>
      </c>
      <c r="V37" s="11"/>
    </row>
    <row r="38" ht="14.25" customHeight="1">
      <c r="A38" s="11" t="s">
        <v>161</v>
      </c>
      <c r="B38" s="15">
        <v>4.0</v>
      </c>
      <c r="C38" s="15">
        <v>4.0</v>
      </c>
      <c r="D38" s="15">
        <v>4.0</v>
      </c>
      <c r="E38" s="15">
        <v>4.0</v>
      </c>
      <c r="F38" s="15">
        <v>5.0</v>
      </c>
      <c r="G38" s="15">
        <v>5.0</v>
      </c>
      <c r="H38" s="15">
        <v>4.0</v>
      </c>
      <c r="I38" s="15">
        <v>3.0</v>
      </c>
      <c r="J38" s="11"/>
      <c r="K38" s="15">
        <v>4.0</v>
      </c>
      <c r="L38" s="15">
        <v>4.0</v>
      </c>
      <c r="M38" s="15">
        <v>3.0</v>
      </c>
      <c r="N38" s="15">
        <v>3.0</v>
      </c>
      <c r="O38" s="15">
        <v>3.0</v>
      </c>
      <c r="P38" s="15">
        <v>4.0</v>
      </c>
      <c r="Q38" s="15">
        <v>4.0</v>
      </c>
      <c r="R38" s="15">
        <v>4.0</v>
      </c>
      <c r="S38" s="11"/>
      <c r="T38" s="12">
        <f t="shared" si="3"/>
        <v>59.2</v>
      </c>
      <c r="U38" s="12" t="str">
        <f t="shared" si="2"/>
        <v>NOT SELECTED</v>
      </c>
      <c r="V38" s="11"/>
    </row>
    <row r="39" ht="14.25" customHeight="1">
      <c r="A39" s="11" t="s">
        <v>162</v>
      </c>
      <c r="B39" s="15">
        <v>4.0</v>
      </c>
      <c r="C39" s="15">
        <v>4.0</v>
      </c>
      <c r="D39" s="15">
        <v>3.0</v>
      </c>
      <c r="E39" s="15">
        <v>4.0</v>
      </c>
      <c r="F39" s="15">
        <v>3.0</v>
      </c>
      <c r="G39" s="15">
        <v>5.0</v>
      </c>
      <c r="H39" s="15">
        <v>3.0</v>
      </c>
      <c r="I39" s="15">
        <v>2.0</v>
      </c>
      <c r="J39" s="11"/>
      <c r="K39" s="15">
        <v>4.0</v>
      </c>
      <c r="L39" s="15">
        <v>4.0</v>
      </c>
      <c r="M39" s="15">
        <v>3.0</v>
      </c>
      <c r="N39" s="15">
        <v>2.0</v>
      </c>
      <c r="O39" s="15">
        <v>3.0</v>
      </c>
      <c r="P39" s="15">
        <v>3.0</v>
      </c>
      <c r="Q39" s="15">
        <v>3.0</v>
      </c>
      <c r="R39" s="15">
        <v>3.0</v>
      </c>
      <c r="S39" s="11"/>
      <c r="T39" s="12">
        <f t="shared" si="3"/>
        <v>50.2</v>
      </c>
      <c r="U39" s="12" t="str">
        <f t="shared" si="2"/>
        <v>NOT SELECTED</v>
      </c>
      <c r="V39" s="11"/>
    </row>
    <row r="40" ht="14.25" customHeight="1">
      <c r="A40" s="11" t="s">
        <v>163</v>
      </c>
      <c r="B40" s="15">
        <v>4.0</v>
      </c>
      <c r="C40" s="15">
        <v>3.0</v>
      </c>
      <c r="D40" s="15">
        <v>4.0</v>
      </c>
      <c r="E40" s="15">
        <v>5.0</v>
      </c>
      <c r="F40" s="15">
        <v>5.0</v>
      </c>
      <c r="G40" s="15">
        <v>5.0</v>
      </c>
      <c r="H40" s="15">
        <v>5.0</v>
      </c>
      <c r="I40" s="15">
        <v>4.0</v>
      </c>
      <c r="J40" s="11"/>
      <c r="K40" s="15">
        <v>3.0</v>
      </c>
      <c r="L40" s="15">
        <v>4.0</v>
      </c>
      <c r="M40" s="15">
        <v>3.0</v>
      </c>
      <c r="N40" s="15">
        <v>4.0</v>
      </c>
      <c r="O40" s="15">
        <v>2.0</v>
      </c>
      <c r="P40" s="15">
        <v>4.0</v>
      </c>
      <c r="Q40" s="15">
        <v>4.0</v>
      </c>
      <c r="R40" s="15">
        <v>5.0</v>
      </c>
      <c r="S40" s="11"/>
      <c r="T40" s="12">
        <f t="shared" si="3"/>
        <v>61.8</v>
      </c>
      <c r="U40" s="12" t="str">
        <f t="shared" si="2"/>
        <v>NOT SELECTED</v>
      </c>
      <c r="V40" s="11"/>
    </row>
    <row r="41" ht="14.25" customHeight="1">
      <c r="A41" s="11" t="s">
        <v>164</v>
      </c>
      <c r="B41" s="15">
        <v>4.0</v>
      </c>
      <c r="C41" s="15">
        <v>4.0</v>
      </c>
      <c r="D41" s="15">
        <v>4.0</v>
      </c>
      <c r="E41" s="15">
        <v>5.0</v>
      </c>
      <c r="F41" s="15">
        <v>5.0</v>
      </c>
      <c r="G41" s="15">
        <v>5.0</v>
      </c>
      <c r="H41" s="15">
        <v>5.0</v>
      </c>
      <c r="I41" s="15">
        <v>4.0</v>
      </c>
      <c r="J41" s="11"/>
      <c r="K41" s="15">
        <v>4.0</v>
      </c>
      <c r="L41" s="15">
        <v>4.0</v>
      </c>
      <c r="M41" s="15">
        <v>4.0</v>
      </c>
      <c r="N41" s="15">
        <v>4.0</v>
      </c>
      <c r="O41" s="15">
        <v>2.0</v>
      </c>
      <c r="P41" s="15">
        <v>4.0</v>
      </c>
      <c r="Q41" s="15">
        <v>5.0</v>
      </c>
      <c r="R41" s="15">
        <v>5.0</v>
      </c>
      <c r="S41" s="11"/>
      <c r="T41" s="12">
        <f t="shared" si="3"/>
        <v>64.2</v>
      </c>
      <c r="U41" s="12" t="str">
        <f t="shared" si="2"/>
        <v>NOT SELECTED</v>
      </c>
      <c r="V41" s="11"/>
    </row>
    <row r="42" ht="14.25" customHeight="1">
      <c r="A42" s="11" t="s">
        <v>165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2" t="str">
        <f t="shared" si="3"/>
        <v/>
      </c>
      <c r="U42" s="12" t="str">
        <f t="shared" si="2"/>
        <v/>
      </c>
      <c r="V42" s="11"/>
    </row>
    <row r="43" ht="14.25" customHeight="1">
      <c r="A43" s="11" t="s">
        <v>166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2" t="str">
        <f t="shared" ref="T43:T100" si="4">IF(COUNTA(B43:S43)=0,"",ROUND(B43/5*4+C43/5*5+D43/5*4+E43/5*5+F43/5*7+G43/5*8+#REF!/5*4+H43/5*3+I43/5*2+J43/5*3+K43/5*3+L43/5*5+M43/5*3+N43/5*7+O43/5*3+#REF!/5*3+#REF!/5*2+#REF!/5*7+P43/5*7+#REF!/5*4+Q43/5*1+R43/5*7+S43/5*3,1))</f>
        <v/>
      </c>
      <c r="U43" s="12" t="str">
        <f t="shared" si="2"/>
        <v/>
      </c>
      <c r="V43" s="11"/>
    </row>
    <row r="44" ht="14.25" customHeight="1">
      <c r="A44" s="11" t="s">
        <v>167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2" t="str">
        <f t="shared" si="4"/>
        <v/>
      </c>
      <c r="U44" s="12" t="str">
        <f t="shared" si="2"/>
        <v/>
      </c>
      <c r="V44" s="11"/>
    </row>
    <row r="45" ht="14.25" customHeight="1">
      <c r="A45" s="11" t="s">
        <v>168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2" t="str">
        <f t="shared" si="4"/>
        <v/>
      </c>
      <c r="U45" s="12" t="str">
        <f t="shared" si="2"/>
        <v/>
      </c>
      <c r="V45" s="11"/>
    </row>
    <row r="46" ht="14.25" customHeight="1">
      <c r="A46" s="11" t="s">
        <v>169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2" t="str">
        <f t="shared" si="4"/>
        <v/>
      </c>
      <c r="U46" s="12" t="str">
        <f t="shared" si="2"/>
        <v/>
      </c>
      <c r="V46" s="11"/>
    </row>
    <row r="47" ht="14.25" customHeight="1">
      <c r="A47" s="11" t="s">
        <v>170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2" t="str">
        <f t="shared" si="4"/>
        <v/>
      </c>
      <c r="U47" s="12" t="str">
        <f t="shared" si="2"/>
        <v/>
      </c>
      <c r="V47" s="11"/>
    </row>
    <row r="48" ht="14.25" customHeight="1">
      <c r="A48" s="11" t="s">
        <v>171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2" t="str">
        <f t="shared" si="4"/>
        <v/>
      </c>
      <c r="U48" s="12" t="str">
        <f t="shared" si="2"/>
        <v/>
      </c>
      <c r="V48" s="11"/>
    </row>
    <row r="49" ht="14.25" customHeight="1">
      <c r="A49" s="11" t="s">
        <v>172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2" t="str">
        <f t="shared" si="4"/>
        <v/>
      </c>
      <c r="U49" s="12" t="str">
        <f t="shared" si="2"/>
        <v/>
      </c>
      <c r="V49" s="11"/>
    </row>
    <row r="50" ht="14.25" customHeight="1">
      <c r="A50" s="11" t="s">
        <v>173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2" t="str">
        <f t="shared" si="4"/>
        <v/>
      </c>
      <c r="U50" s="12" t="str">
        <f t="shared" si="2"/>
        <v/>
      </c>
      <c r="V50" s="11"/>
    </row>
    <row r="51" ht="14.25" customHeight="1">
      <c r="A51" s="11" t="s">
        <v>174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2" t="str">
        <f t="shared" si="4"/>
        <v/>
      </c>
      <c r="U51" s="12" t="str">
        <f t="shared" si="2"/>
        <v/>
      </c>
      <c r="V51" s="11"/>
    </row>
    <row r="52" ht="14.25" customHeight="1">
      <c r="A52" s="11" t="s">
        <v>175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2" t="str">
        <f t="shared" si="4"/>
        <v/>
      </c>
      <c r="U52" s="12" t="str">
        <f t="shared" si="2"/>
        <v/>
      </c>
      <c r="V52" s="11"/>
    </row>
    <row r="53" ht="14.25" customHeight="1">
      <c r="A53" s="11" t="s">
        <v>176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2" t="str">
        <f t="shared" si="4"/>
        <v/>
      </c>
      <c r="U53" s="12" t="str">
        <f t="shared" si="2"/>
        <v/>
      </c>
      <c r="V53" s="11"/>
    </row>
    <row r="54" ht="14.25" customHeight="1">
      <c r="A54" s="11" t="s">
        <v>177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2" t="str">
        <f t="shared" si="4"/>
        <v/>
      </c>
      <c r="U54" s="12" t="str">
        <f t="shared" si="2"/>
        <v/>
      </c>
      <c r="V54" s="11"/>
    </row>
    <row r="55" ht="14.25" customHeight="1">
      <c r="A55" s="11" t="s">
        <v>178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2" t="str">
        <f t="shared" si="4"/>
        <v/>
      </c>
      <c r="U55" s="12" t="str">
        <f t="shared" si="2"/>
        <v/>
      </c>
      <c r="V55" s="11"/>
    </row>
    <row r="56" ht="14.25" customHeight="1">
      <c r="A56" s="11" t="s">
        <v>179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2" t="str">
        <f t="shared" si="4"/>
        <v/>
      </c>
      <c r="U56" s="12" t="str">
        <f t="shared" si="2"/>
        <v/>
      </c>
      <c r="V56" s="11"/>
    </row>
    <row r="57" ht="14.25" customHeight="1">
      <c r="A57" s="11" t="s">
        <v>180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2" t="str">
        <f t="shared" si="4"/>
        <v/>
      </c>
      <c r="U57" s="12" t="str">
        <f t="shared" si="2"/>
        <v/>
      </c>
      <c r="V57" s="11"/>
    </row>
    <row r="58" ht="14.25" customHeight="1">
      <c r="A58" s="11" t="s">
        <v>181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2" t="str">
        <f t="shared" si="4"/>
        <v/>
      </c>
      <c r="U58" s="12" t="str">
        <f t="shared" si="2"/>
        <v/>
      </c>
      <c r="V58" s="11"/>
    </row>
    <row r="59" ht="14.25" customHeight="1">
      <c r="A59" s="11" t="s">
        <v>182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2" t="str">
        <f t="shared" si="4"/>
        <v/>
      </c>
      <c r="U59" s="12" t="str">
        <f t="shared" si="2"/>
        <v/>
      </c>
      <c r="V59" s="11"/>
    </row>
    <row r="60" ht="14.25" customHeight="1">
      <c r="A60" s="11" t="s">
        <v>183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2" t="str">
        <f t="shared" si="4"/>
        <v/>
      </c>
      <c r="U60" s="12" t="str">
        <f t="shared" si="2"/>
        <v/>
      </c>
      <c r="V60" s="11"/>
    </row>
    <row r="61" ht="14.25" customHeight="1">
      <c r="A61" s="11" t="s">
        <v>184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2" t="str">
        <f t="shared" si="4"/>
        <v/>
      </c>
      <c r="U61" s="12" t="str">
        <f t="shared" si="2"/>
        <v/>
      </c>
      <c r="V61" s="11"/>
    </row>
    <row r="62" ht="14.25" customHeight="1">
      <c r="A62" s="11" t="s">
        <v>185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2" t="str">
        <f t="shared" si="4"/>
        <v/>
      </c>
      <c r="U62" s="12" t="str">
        <f t="shared" si="2"/>
        <v/>
      </c>
      <c r="V62" s="11"/>
    </row>
    <row r="63" ht="14.25" customHeight="1">
      <c r="A63" s="11" t="s">
        <v>186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2" t="str">
        <f t="shared" si="4"/>
        <v/>
      </c>
      <c r="U63" s="12" t="str">
        <f t="shared" si="2"/>
        <v/>
      </c>
      <c r="V63" s="11"/>
    </row>
    <row r="64" ht="14.25" customHeight="1">
      <c r="A64" s="11" t="s">
        <v>187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2" t="str">
        <f t="shared" si="4"/>
        <v/>
      </c>
      <c r="U64" s="12" t="str">
        <f t="shared" si="2"/>
        <v/>
      </c>
      <c r="V64" s="11"/>
    </row>
    <row r="65" ht="14.25" customHeight="1">
      <c r="A65" s="11" t="s">
        <v>188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2" t="str">
        <f t="shared" si="4"/>
        <v/>
      </c>
      <c r="U65" s="12" t="str">
        <f t="shared" si="2"/>
        <v/>
      </c>
      <c r="V65" s="11"/>
    </row>
    <row r="66" ht="14.25" customHeight="1">
      <c r="A66" s="11" t="s">
        <v>189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2" t="str">
        <f t="shared" si="4"/>
        <v/>
      </c>
      <c r="U66" s="12" t="str">
        <f t="shared" si="2"/>
        <v/>
      </c>
      <c r="V66" s="11"/>
    </row>
    <row r="67" ht="14.25" customHeight="1">
      <c r="A67" s="11" t="s">
        <v>190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2" t="str">
        <f t="shared" si="4"/>
        <v/>
      </c>
      <c r="U67" s="12" t="str">
        <f t="shared" si="2"/>
        <v/>
      </c>
      <c r="V67" s="11"/>
    </row>
    <row r="68" ht="14.25" customHeight="1">
      <c r="A68" s="11" t="s">
        <v>191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2" t="str">
        <f t="shared" si="4"/>
        <v/>
      </c>
      <c r="U68" s="12" t="str">
        <f t="shared" si="2"/>
        <v/>
      </c>
      <c r="V68" s="11"/>
    </row>
    <row r="69" ht="14.25" customHeight="1">
      <c r="A69" s="11" t="s">
        <v>192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2" t="str">
        <f t="shared" si="4"/>
        <v/>
      </c>
      <c r="U69" s="12" t="str">
        <f t="shared" si="2"/>
        <v/>
      </c>
      <c r="V69" s="11"/>
    </row>
    <row r="70" ht="14.25" customHeight="1">
      <c r="A70" s="11" t="s">
        <v>193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2" t="str">
        <f t="shared" si="4"/>
        <v/>
      </c>
      <c r="U70" s="12" t="str">
        <f t="shared" si="2"/>
        <v/>
      </c>
      <c r="V70" s="11"/>
    </row>
    <row r="71" ht="14.25" customHeight="1">
      <c r="A71" s="11" t="s">
        <v>194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2" t="str">
        <f t="shared" si="4"/>
        <v/>
      </c>
      <c r="U71" s="12" t="str">
        <f t="shared" si="2"/>
        <v/>
      </c>
      <c r="V71" s="11"/>
    </row>
    <row r="72" ht="14.25" customHeight="1">
      <c r="A72" s="11" t="s">
        <v>195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2" t="str">
        <f t="shared" si="4"/>
        <v/>
      </c>
      <c r="U72" s="12" t="str">
        <f t="shared" si="2"/>
        <v/>
      </c>
      <c r="V72" s="11"/>
    </row>
    <row r="73" ht="14.25" customHeight="1">
      <c r="A73" s="11" t="s">
        <v>196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2" t="str">
        <f t="shared" si="4"/>
        <v/>
      </c>
      <c r="U73" s="12" t="str">
        <f t="shared" si="2"/>
        <v/>
      </c>
      <c r="V73" s="11"/>
    </row>
    <row r="74" ht="14.25" customHeight="1">
      <c r="A74" s="11" t="s">
        <v>197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2" t="str">
        <f t="shared" si="4"/>
        <v/>
      </c>
      <c r="U74" s="12" t="str">
        <f t="shared" si="2"/>
        <v/>
      </c>
      <c r="V74" s="11"/>
    </row>
    <row r="75" ht="14.25" customHeight="1">
      <c r="A75" s="11" t="s">
        <v>198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2" t="str">
        <f t="shared" si="4"/>
        <v/>
      </c>
      <c r="U75" s="12" t="str">
        <f t="shared" si="2"/>
        <v/>
      </c>
      <c r="V75" s="11"/>
    </row>
    <row r="76" ht="14.25" customHeight="1">
      <c r="A76" s="11" t="s">
        <v>199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2" t="str">
        <f t="shared" si="4"/>
        <v/>
      </c>
      <c r="U76" s="12" t="str">
        <f t="shared" si="2"/>
        <v/>
      </c>
      <c r="V76" s="11"/>
    </row>
    <row r="77" ht="14.25" customHeight="1">
      <c r="A77" s="11" t="s">
        <v>200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2" t="str">
        <f t="shared" si="4"/>
        <v/>
      </c>
      <c r="U77" s="12" t="str">
        <f t="shared" si="2"/>
        <v/>
      </c>
      <c r="V77" s="11"/>
    </row>
    <row r="78" ht="14.25" customHeight="1">
      <c r="A78" s="11" t="s">
        <v>201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2" t="str">
        <f t="shared" si="4"/>
        <v/>
      </c>
      <c r="U78" s="12" t="str">
        <f t="shared" si="2"/>
        <v/>
      </c>
      <c r="V78" s="11"/>
    </row>
    <row r="79" ht="14.25" customHeight="1">
      <c r="A79" s="11" t="s">
        <v>202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2" t="str">
        <f t="shared" si="4"/>
        <v/>
      </c>
      <c r="U79" s="12" t="str">
        <f t="shared" si="2"/>
        <v/>
      </c>
      <c r="V79" s="11"/>
    </row>
    <row r="80" ht="14.25" customHeight="1">
      <c r="A80" s="11" t="s">
        <v>203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2" t="str">
        <f t="shared" si="4"/>
        <v/>
      </c>
      <c r="U80" s="12" t="str">
        <f t="shared" si="2"/>
        <v/>
      </c>
      <c r="V80" s="11"/>
    </row>
    <row r="81" ht="14.25" customHeight="1">
      <c r="A81" s="11" t="s">
        <v>204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2" t="str">
        <f t="shared" si="4"/>
        <v/>
      </c>
      <c r="U81" s="12" t="str">
        <f t="shared" si="2"/>
        <v/>
      </c>
      <c r="V81" s="11"/>
    </row>
    <row r="82" ht="14.25" customHeight="1">
      <c r="A82" s="11" t="s">
        <v>205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2" t="str">
        <f t="shared" si="4"/>
        <v/>
      </c>
      <c r="U82" s="12" t="str">
        <f t="shared" si="2"/>
        <v/>
      </c>
      <c r="V82" s="11"/>
    </row>
    <row r="83" ht="14.25" customHeight="1">
      <c r="A83" s="11" t="s">
        <v>206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2" t="str">
        <f t="shared" si="4"/>
        <v/>
      </c>
      <c r="U83" s="12" t="str">
        <f t="shared" si="2"/>
        <v/>
      </c>
      <c r="V83" s="11"/>
    </row>
    <row r="84" ht="14.25" customHeight="1">
      <c r="A84" s="11" t="s">
        <v>207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2" t="str">
        <f t="shared" si="4"/>
        <v/>
      </c>
      <c r="U84" s="12" t="str">
        <f t="shared" si="2"/>
        <v/>
      </c>
      <c r="V84" s="11"/>
    </row>
    <row r="85" ht="14.25" customHeight="1">
      <c r="A85" s="11" t="s">
        <v>208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2" t="str">
        <f t="shared" si="4"/>
        <v/>
      </c>
      <c r="U85" s="12" t="str">
        <f t="shared" si="2"/>
        <v/>
      </c>
      <c r="V85" s="11"/>
    </row>
    <row r="86" ht="14.25" customHeight="1">
      <c r="A86" s="11" t="s">
        <v>209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2" t="str">
        <f t="shared" si="4"/>
        <v/>
      </c>
      <c r="U86" s="12" t="str">
        <f t="shared" si="2"/>
        <v/>
      </c>
      <c r="V86" s="11"/>
    </row>
    <row r="87" ht="14.25" customHeight="1">
      <c r="A87" s="11" t="s">
        <v>210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2" t="str">
        <f t="shared" si="4"/>
        <v/>
      </c>
      <c r="U87" s="12" t="str">
        <f t="shared" si="2"/>
        <v/>
      </c>
      <c r="V87" s="11"/>
    </row>
    <row r="88" ht="14.25" customHeight="1">
      <c r="A88" s="11" t="s">
        <v>211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2" t="str">
        <f t="shared" si="4"/>
        <v/>
      </c>
      <c r="U88" s="12" t="str">
        <f t="shared" si="2"/>
        <v/>
      </c>
      <c r="V88" s="11"/>
    </row>
    <row r="89" ht="14.25" customHeight="1">
      <c r="A89" s="11" t="s">
        <v>212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2" t="str">
        <f t="shared" si="4"/>
        <v/>
      </c>
      <c r="U89" s="12" t="str">
        <f t="shared" si="2"/>
        <v/>
      </c>
      <c r="V89" s="11"/>
    </row>
    <row r="90" ht="14.25" customHeight="1">
      <c r="A90" s="11" t="s">
        <v>213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2" t="str">
        <f t="shared" si="4"/>
        <v/>
      </c>
      <c r="U90" s="12" t="str">
        <f t="shared" si="2"/>
        <v/>
      </c>
      <c r="V90" s="11"/>
    </row>
    <row r="91" ht="14.25" customHeight="1">
      <c r="A91" s="11" t="s">
        <v>214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2" t="str">
        <f t="shared" si="4"/>
        <v/>
      </c>
      <c r="U91" s="12" t="str">
        <f t="shared" si="2"/>
        <v/>
      </c>
      <c r="V91" s="11"/>
    </row>
    <row r="92" ht="14.25" customHeight="1">
      <c r="A92" s="11" t="s">
        <v>215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2" t="str">
        <f t="shared" si="4"/>
        <v/>
      </c>
      <c r="U92" s="12" t="str">
        <f t="shared" si="2"/>
        <v/>
      </c>
      <c r="V92" s="11"/>
    </row>
    <row r="93" ht="14.25" customHeight="1">
      <c r="A93" s="11" t="s">
        <v>216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2" t="str">
        <f t="shared" si="4"/>
        <v/>
      </c>
      <c r="U93" s="12" t="str">
        <f t="shared" si="2"/>
        <v/>
      </c>
      <c r="V93" s="11"/>
    </row>
    <row r="94" ht="14.25" customHeight="1">
      <c r="A94" s="11" t="s">
        <v>217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2" t="str">
        <f t="shared" si="4"/>
        <v/>
      </c>
      <c r="U94" s="12" t="str">
        <f t="shared" si="2"/>
        <v/>
      </c>
      <c r="V94" s="11"/>
    </row>
    <row r="95" ht="14.25" customHeight="1">
      <c r="A95" s="11" t="s">
        <v>218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2" t="str">
        <f t="shared" si="4"/>
        <v/>
      </c>
      <c r="U95" s="12" t="str">
        <f t="shared" si="2"/>
        <v/>
      </c>
      <c r="V95" s="11"/>
    </row>
    <row r="96" ht="14.25" customHeight="1">
      <c r="A96" s="11" t="s">
        <v>219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2" t="str">
        <f t="shared" si="4"/>
        <v/>
      </c>
      <c r="U96" s="12" t="str">
        <f t="shared" si="2"/>
        <v/>
      </c>
      <c r="V96" s="11"/>
    </row>
    <row r="97" ht="14.25" customHeight="1">
      <c r="A97" s="11" t="s">
        <v>220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2" t="str">
        <f t="shared" si="4"/>
        <v/>
      </c>
      <c r="U97" s="12" t="str">
        <f t="shared" si="2"/>
        <v/>
      </c>
      <c r="V97" s="11"/>
    </row>
    <row r="98" ht="14.25" customHeight="1">
      <c r="A98" s="11" t="s">
        <v>221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2" t="str">
        <f t="shared" si="4"/>
        <v/>
      </c>
      <c r="U98" s="12" t="str">
        <f t="shared" si="2"/>
        <v/>
      </c>
      <c r="V98" s="11"/>
    </row>
    <row r="99" ht="14.25" customHeight="1">
      <c r="A99" s="11" t="s">
        <v>222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2" t="str">
        <f t="shared" si="4"/>
        <v/>
      </c>
      <c r="U99" s="12" t="str">
        <f t="shared" si="2"/>
        <v/>
      </c>
      <c r="V99" s="11"/>
    </row>
    <row r="100" ht="14.25" customHeight="1">
      <c r="A100" s="11" t="s">
        <v>223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2" t="str">
        <f t="shared" si="4"/>
        <v/>
      </c>
      <c r="U100" s="12" t="str">
        <f t="shared" si="2"/>
        <v/>
      </c>
      <c r="V100" s="11"/>
    </row>
    <row r="101" ht="14.25" customHeight="1">
      <c r="A101" s="16" t="s">
        <v>224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ht="14.25" customHeight="1">
      <c r="A102" s="16" t="s">
        <v>225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ht="14.25" customHeight="1">
      <c r="A103" s="16" t="s">
        <v>226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ht="14.25" customHeight="1">
      <c r="A104" s="17" t="s">
        <v>227</v>
      </c>
      <c r="B104" s="18" t="s">
        <v>228</v>
      </c>
      <c r="C104" s="18" t="s">
        <v>229</v>
      </c>
      <c r="D104" s="18" t="s">
        <v>230</v>
      </c>
      <c r="E104" s="18" t="s">
        <v>231</v>
      </c>
      <c r="F104" s="18" t="s">
        <v>232</v>
      </c>
      <c r="G104" s="18" t="s">
        <v>233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ustomSheetViews>
    <customSheetView guid="{04EA56E5-7E3F-40B7-8257-F0437EF1ADE5}" filter="1" showAutoFilter="1">
      <autoFilter ref="$A$1:$V$103"/>
      <extLst>
        <ext uri="GoogleSheetsCustomDataVersion1">
          <go:sheetsCustomData xmlns:go="http://customooxmlschemas.google.com/" filterViewId="972088906"/>
        </ext>
      </extLst>
    </customSheetView>
  </customSheetViews>
  <conditionalFormatting sqref="U2:U103">
    <cfRule type="expression" dxfId="5" priority="1">
      <formula>U2="SELECTED"</formula>
    </cfRule>
  </conditionalFormatting>
  <conditionalFormatting sqref="U2:U103">
    <cfRule type="expression" dxfId="6" priority="2">
      <formula>U2="NOT SELECTED"</formula>
    </cfRule>
  </conditionalFormatting>
  <conditionalFormatting sqref="B2:R2 S2:S103 B7:R7 B10:R10 B12:R103">
    <cfRule type="cellIs" dxfId="5" priority="3" operator="greaterThanOrEqual">
      <formula>4</formula>
    </cfRule>
  </conditionalFormatting>
  <conditionalFormatting sqref="B2:R2 S2:S103 B7:R7 B10:R10 B12:R103">
    <cfRule type="cellIs" dxfId="7" priority="4" operator="between">
      <formula>2</formula>
      <formula>3</formula>
    </cfRule>
  </conditionalFormatting>
  <conditionalFormatting sqref="B2:R2 S2:S103 B7:R7 B10:R10 B12:R103">
    <cfRule type="cellIs" dxfId="6" priority="5" operator="lessThan">
      <formula>2</formula>
    </cfRule>
  </conditionalFormatting>
  <dataValidations>
    <dataValidation type="decimal" allowBlank="1" showInputMessage="1" showErrorMessage="1" prompt="Score this criterion - 0 = does not meet, 3 = acceptable, 5 = strongly meets." sqref="B2:S2 S3:S6 B7:S7 S8:S9 B10:S10 S11 B12:S103">
      <formula1>0.0</formula1>
      <formula2>5.0</formula2>
    </dataValidation>
  </dataValidations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65.0"/>
    <col customWidth="1" min="3" max="4" width="14.0"/>
    <col customWidth="1" min="5" max="5" width="65.0"/>
    <col customWidth="1" min="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ht="14.25" customHeight="1">
      <c r="A2" s="4" t="s">
        <v>6</v>
      </c>
      <c r="B2" s="4" t="s">
        <v>7</v>
      </c>
      <c r="C2" s="4">
        <v>4.0</v>
      </c>
      <c r="D2" s="4" t="s">
        <v>8</v>
      </c>
      <c r="E2" s="4" t="s">
        <v>9</v>
      </c>
    </row>
    <row r="3" ht="14.25" customHeight="1">
      <c r="A3" s="4" t="s">
        <v>11</v>
      </c>
      <c r="B3" s="4" t="s">
        <v>12</v>
      </c>
      <c r="C3" s="4">
        <v>5.0</v>
      </c>
      <c r="D3" s="4" t="s">
        <v>8</v>
      </c>
      <c r="E3" s="4" t="s">
        <v>9</v>
      </c>
    </row>
    <row r="4" ht="14.25" customHeight="1">
      <c r="A4" s="4" t="s">
        <v>13</v>
      </c>
      <c r="B4" s="4" t="s">
        <v>15</v>
      </c>
      <c r="C4" s="4">
        <v>4.0</v>
      </c>
      <c r="D4" s="4" t="s">
        <v>16</v>
      </c>
      <c r="E4" s="4" t="s">
        <v>9</v>
      </c>
    </row>
    <row r="5" ht="14.25" customHeight="1">
      <c r="A5" s="4" t="s">
        <v>18</v>
      </c>
      <c r="B5" s="4" t="s">
        <v>19</v>
      </c>
      <c r="C5" s="4">
        <v>5.0</v>
      </c>
      <c r="D5" s="4" t="s">
        <v>8</v>
      </c>
      <c r="E5" s="4" t="s">
        <v>9</v>
      </c>
    </row>
    <row r="6" ht="14.25" customHeight="1">
      <c r="A6" s="4" t="s">
        <v>22</v>
      </c>
      <c r="B6" s="4" t="s">
        <v>23</v>
      </c>
      <c r="C6" s="4">
        <v>7.0</v>
      </c>
      <c r="D6" s="4" t="s">
        <v>8</v>
      </c>
      <c r="E6" s="4" t="s">
        <v>9</v>
      </c>
    </row>
    <row r="7" ht="14.25" customHeight="1">
      <c r="A7" s="4" t="s">
        <v>24</v>
      </c>
      <c r="B7" s="4" t="s">
        <v>25</v>
      </c>
      <c r="C7" s="4">
        <v>8.0</v>
      </c>
      <c r="D7" s="4" t="s">
        <v>8</v>
      </c>
      <c r="E7" s="4" t="s">
        <v>9</v>
      </c>
    </row>
    <row r="8" ht="14.25" customHeight="1">
      <c r="A8" s="4" t="s">
        <v>27</v>
      </c>
      <c r="B8" s="4" t="s">
        <v>28</v>
      </c>
      <c r="C8" s="4">
        <v>4.0</v>
      </c>
      <c r="D8" s="4" t="s">
        <v>16</v>
      </c>
      <c r="E8" s="4" t="s">
        <v>9</v>
      </c>
    </row>
    <row r="9" ht="14.25" customHeight="1">
      <c r="A9" s="4" t="s">
        <v>29</v>
      </c>
      <c r="B9" s="4" t="s">
        <v>30</v>
      </c>
      <c r="C9" s="4">
        <v>3.0</v>
      </c>
      <c r="D9" s="4" t="s">
        <v>16</v>
      </c>
      <c r="E9" s="4" t="s">
        <v>9</v>
      </c>
    </row>
    <row r="10" ht="14.25" customHeight="1">
      <c r="A10" s="4" t="s">
        <v>32</v>
      </c>
      <c r="B10" s="4" t="s">
        <v>33</v>
      </c>
      <c r="C10" s="4">
        <v>2.0</v>
      </c>
      <c r="D10" s="4" t="s">
        <v>35</v>
      </c>
      <c r="E10" s="4" t="s">
        <v>9</v>
      </c>
    </row>
    <row r="11" ht="14.25" customHeight="1">
      <c r="A11" s="4" t="s">
        <v>37</v>
      </c>
      <c r="B11" s="4" t="s">
        <v>38</v>
      </c>
      <c r="C11" s="4">
        <v>3.0</v>
      </c>
      <c r="D11" s="4" t="s">
        <v>16</v>
      </c>
      <c r="E11" s="4" t="s">
        <v>9</v>
      </c>
    </row>
    <row r="12" ht="14.25" customHeight="1">
      <c r="A12" s="4" t="s">
        <v>40</v>
      </c>
      <c r="B12" s="4" t="s">
        <v>41</v>
      </c>
      <c r="C12" s="4">
        <v>3.0</v>
      </c>
      <c r="D12" s="4" t="s">
        <v>16</v>
      </c>
      <c r="E12" s="4" t="s">
        <v>9</v>
      </c>
    </row>
    <row r="13" ht="14.25" customHeight="1">
      <c r="A13" s="4" t="s">
        <v>43</v>
      </c>
      <c r="B13" s="4" t="s">
        <v>44</v>
      </c>
      <c r="C13" s="4">
        <v>5.0</v>
      </c>
      <c r="D13" s="4" t="s">
        <v>8</v>
      </c>
      <c r="E13" s="4" t="s">
        <v>9</v>
      </c>
    </row>
    <row r="14" ht="14.25" customHeight="1">
      <c r="A14" s="4" t="s">
        <v>45</v>
      </c>
      <c r="B14" s="4" t="s">
        <v>46</v>
      </c>
      <c r="C14" s="4">
        <v>3.0</v>
      </c>
      <c r="D14" s="4" t="s">
        <v>16</v>
      </c>
      <c r="E14" s="4" t="s">
        <v>9</v>
      </c>
    </row>
    <row r="15" ht="14.25" customHeight="1">
      <c r="A15" s="4" t="s">
        <v>48</v>
      </c>
      <c r="B15" s="4" t="s">
        <v>49</v>
      </c>
      <c r="C15" s="4">
        <v>7.0</v>
      </c>
      <c r="D15" s="4" t="s">
        <v>8</v>
      </c>
      <c r="E15" s="4" t="s">
        <v>9</v>
      </c>
    </row>
    <row r="16" ht="14.25" customHeight="1">
      <c r="A16" s="4" t="s">
        <v>51</v>
      </c>
      <c r="B16" s="4" t="s">
        <v>52</v>
      </c>
      <c r="C16" s="4">
        <v>3.0</v>
      </c>
      <c r="D16" s="4" t="s">
        <v>16</v>
      </c>
      <c r="E16" s="4" t="s">
        <v>9</v>
      </c>
    </row>
    <row r="17" ht="14.25" customHeight="1">
      <c r="A17" s="4" t="s">
        <v>53</v>
      </c>
      <c r="B17" s="4" t="s">
        <v>54</v>
      </c>
      <c r="C17" s="4">
        <v>3.0</v>
      </c>
      <c r="D17" s="4" t="s">
        <v>16</v>
      </c>
      <c r="E17" s="4" t="s">
        <v>9</v>
      </c>
    </row>
    <row r="18" ht="14.25" customHeight="1">
      <c r="A18" s="4" t="s">
        <v>55</v>
      </c>
      <c r="B18" s="4" t="s">
        <v>56</v>
      </c>
      <c r="C18" s="4">
        <v>2.0</v>
      </c>
      <c r="D18" s="4" t="s">
        <v>16</v>
      </c>
      <c r="E18" s="4" t="s">
        <v>9</v>
      </c>
    </row>
    <row r="19" ht="14.25" customHeight="1">
      <c r="A19" s="4" t="s">
        <v>57</v>
      </c>
      <c r="B19" s="4" t="s">
        <v>58</v>
      </c>
      <c r="C19" s="4">
        <v>7.0</v>
      </c>
      <c r="D19" s="4" t="s">
        <v>8</v>
      </c>
      <c r="E19" s="4" t="s">
        <v>9</v>
      </c>
    </row>
    <row r="20" ht="14.25" customHeight="1">
      <c r="A20" s="4" t="s">
        <v>59</v>
      </c>
      <c r="B20" s="4" t="s">
        <v>60</v>
      </c>
      <c r="C20" s="4">
        <v>7.0</v>
      </c>
      <c r="D20" s="4" t="s">
        <v>8</v>
      </c>
      <c r="E20" s="4" t="s">
        <v>9</v>
      </c>
    </row>
    <row r="21" ht="14.25" customHeight="1">
      <c r="A21" s="4" t="s">
        <v>61</v>
      </c>
      <c r="B21" s="4" t="s">
        <v>62</v>
      </c>
      <c r="C21" s="4">
        <v>4.0</v>
      </c>
      <c r="D21" s="4" t="s">
        <v>8</v>
      </c>
      <c r="E21" s="4" t="s">
        <v>9</v>
      </c>
    </row>
    <row r="22" ht="14.25" customHeight="1">
      <c r="A22" s="4" t="s">
        <v>63</v>
      </c>
      <c r="B22" s="4" t="s">
        <v>64</v>
      </c>
      <c r="C22" s="4">
        <v>1.0</v>
      </c>
      <c r="D22" s="4" t="s">
        <v>35</v>
      </c>
      <c r="E22" s="4" t="s">
        <v>9</v>
      </c>
    </row>
    <row r="23" ht="14.25" customHeight="1">
      <c r="A23" s="4" t="s">
        <v>65</v>
      </c>
      <c r="B23" s="4" t="s">
        <v>66</v>
      </c>
      <c r="C23" s="4">
        <v>7.0</v>
      </c>
      <c r="D23" s="4" t="s">
        <v>8</v>
      </c>
      <c r="E23" s="4" t="s">
        <v>9</v>
      </c>
    </row>
    <row r="24" ht="14.25" customHeight="1">
      <c r="A24" s="4" t="s">
        <v>67</v>
      </c>
      <c r="B24" s="4" t="s">
        <v>68</v>
      </c>
      <c r="C24" s="4">
        <v>3.0</v>
      </c>
      <c r="D24" s="4" t="s">
        <v>16</v>
      </c>
      <c r="E24" s="4" t="s">
        <v>9</v>
      </c>
    </row>
    <row r="25" ht="14.25" customHeight="1"/>
    <row r="26" ht="14.25" customHeight="1">
      <c r="A26" s="10" t="s">
        <v>69</v>
      </c>
      <c r="C26" s="10">
        <f>SUM(C2:C24)</f>
        <v>100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2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65.0"/>
    <col customWidth="1" min="3" max="4" width="14.0"/>
    <col customWidth="1" min="5" max="5" width="65.0"/>
    <col customWidth="1" min="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ht="14.25" customHeight="1">
      <c r="A2" s="4" t="s">
        <v>6</v>
      </c>
      <c r="B2" s="4" t="s">
        <v>7</v>
      </c>
      <c r="C2" s="7">
        <v>5.0</v>
      </c>
      <c r="D2" s="4" t="s">
        <v>8</v>
      </c>
      <c r="E2" s="4" t="s">
        <v>9</v>
      </c>
    </row>
    <row r="3" ht="14.25" customHeight="1">
      <c r="A3" s="4" t="s">
        <v>11</v>
      </c>
      <c r="B3" s="4" t="s">
        <v>12</v>
      </c>
      <c r="C3" s="7">
        <v>6.0</v>
      </c>
      <c r="D3" s="4" t="s">
        <v>8</v>
      </c>
      <c r="E3" s="4" t="s">
        <v>9</v>
      </c>
    </row>
    <row r="4" ht="14.25" customHeight="1">
      <c r="A4" s="4" t="s">
        <v>13</v>
      </c>
      <c r="B4" s="4" t="s">
        <v>15</v>
      </c>
      <c r="C4" s="7">
        <v>5.0</v>
      </c>
      <c r="D4" s="4" t="s">
        <v>16</v>
      </c>
      <c r="E4" s="4" t="s">
        <v>9</v>
      </c>
    </row>
    <row r="5" ht="14.25" customHeight="1">
      <c r="A5" s="4" t="s">
        <v>18</v>
      </c>
      <c r="B5" s="4" t="s">
        <v>19</v>
      </c>
      <c r="C5" s="7">
        <v>6.0</v>
      </c>
      <c r="D5" s="4" t="s">
        <v>8</v>
      </c>
      <c r="E5" s="4" t="s">
        <v>9</v>
      </c>
    </row>
    <row r="6" ht="14.25" customHeight="1">
      <c r="A6" s="4" t="s">
        <v>22</v>
      </c>
      <c r="B6" s="4" t="s">
        <v>23</v>
      </c>
      <c r="C6" s="7">
        <v>9.0</v>
      </c>
      <c r="D6" s="4" t="s">
        <v>8</v>
      </c>
      <c r="E6" s="4" t="s">
        <v>9</v>
      </c>
    </row>
    <row r="7" ht="14.25" customHeight="1">
      <c r="A7" s="4" t="s">
        <v>24</v>
      </c>
      <c r="B7" s="4" t="s">
        <v>25</v>
      </c>
      <c r="C7" s="7">
        <v>10.0</v>
      </c>
      <c r="D7" s="4" t="s">
        <v>8</v>
      </c>
      <c r="E7" s="4" t="s">
        <v>9</v>
      </c>
    </row>
    <row r="8" ht="14.25" customHeight="1">
      <c r="A8" s="4" t="s">
        <v>29</v>
      </c>
      <c r="B8" s="4" t="s">
        <v>30</v>
      </c>
      <c r="C8" s="7">
        <v>4.0</v>
      </c>
      <c r="D8" s="4" t="s">
        <v>16</v>
      </c>
      <c r="E8" s="4" t="s">
        <v>9</v>
      </c>
    </row>
    <row r="9" ht="14.25" customHeight="1">
      <c r="A9" s="4" t="s">
        <v>32</v>
      </c>
      <c r="B9" s="4" t="s">
        <v>33</v>
      </c>
      <c r="C9" s="7">
        <v>2.0</v>
      </c>
      <c r="D9" s="4" t="s">
        <v>35</v>
      </c>
      <c r="E9" s="4" t="s">
        <v>9</v>
      </c>
    </row>
    <row r="10" ht="14.25" customHeight="1">
      <c r="A10" s="4" t="s">
        <v>40</v>
      </c>
      <c r="B10" s="4" t="s">
        <v>41</v>
      </c>
      <c r="C10" s="7">
        <v>4.0</v>
      </c>
      <c r="D10" s="4" t="s">
        <v>16</v>
      </c>
      <c r="E10" s="4" t="s">
        <v>9</v>
      </c>
    </row>
    <row r="11" ht="14.25" customHeight="1">
      <c r="A11" s="4" t="s">
        <v>43</v>
      </c>
      <c r="B11" s="4" t="s">
        <v>44</v>
      </c>
      <c r="C11" s="7">
        <v>6.0</v>
      </c>
      <c r="D11" s="4" t="s">
        <v>8</v>
      </c>
      <c r="E11" s="4" t="s">
        <v>9</v>
      </c>
    </row>
    <row r="12" ht="14.25" customHeight="1">
      <c r="A12" s="4" t="s">
        <v>48</v>
      </c>
      <c r="B12" s="4" t="s">
        <v>49</v>
      </c>
      <c r="C12" s="7">
        <v>9.0</v>
      </c>
      <c r="D12" s="4" t="s">
        <v>8</v>
      </c>
      <c r="E12" s="4" t="s">
        <v>9</v>
      </c>
    </row>
    <row r="13" ht="14.25" customHeight="1">
      <c r="A13" s="4" t="s">
        <v>51</v>
      </c>
      <c r="B13" s="4" t="s">
        <v>52</v>
      </c>
      <c r="C13" s="7">
        <v>9.0</v>
      </c>
      <c r="D13" s="4" t="s">
        <v>16</v>
      </c>
      <c r="E13" s="4" t="s">
        <v>9</v>
      </c>
    </row>
    <row r="14" ht="14.25" customHeight="1">
      <c r="A14" s="4" t="s">
        <v>59</v>
      </c>
      <c r="B14" s="4" t="s">
        <v>60</v>
      </c>
      <c r="C14" s="7">
        <v>10.0</v>
      </c>
      <c r="D14" s="4" t="s">
        <v>8</v>
      </c>
      <c r="E14" s="4" t="s">
        <v>9</v>
      </c>
    </row>
    <row r="15" ht="14.25" customHeight="1">
      <c r="A15" s="4" t="s">
        <v>63</v>
      </c>
      <c r="B15" s="4" t="s">
        <v>64</v>
      </c>
      <c r="C15" s="7">
        <v>2.0</v>
      </c>
      <c r="D15" s="4" t="s">
        <v>35</v>
      </c>
      <c r="E15" s="4" t="s">
        <v>9</v>
      </c>
    </row>
    <row r="16" ht="14.25" customHeight="1">
      <c r="A16" s="4" t="s">
        <v>65</v>
      </c>
      <c r="B16" s="4" t="s">
        <v>66</v>
      </c>
      <c r="C16" s="7">
        <v>13.0</v>
      </c>
      <c r="D16" s="4" t="s">
        <v>8</v>
      </c>
      <c r="E16" s="4" t="s">
        <v>9</v>
      </c>
    </row>
    <row r="17" ht="14.25" customHeight="1"/>
    <row r="18" ht="14.25" customHeight="1">
      <c r="A18" s="10" t="s">
        <v>69</v>
      </c>
      <c r="C18" s="10">
        <f>SUM(C2:C16)</f>
        <v>100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autoFilter ref="$A$1:$E$1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6" width="18.0"/>
    <col customWidth="1" min="7" max="26" width="8.71"/>
  </cols>
  <sheetData>
    <row r="1" ht="14.25" customHeight="1">
      <c r="A1" s="2" t="s">
        <v>1</v>
      </c>
      <c r="B1" s="3"/>
      <c r="C1" s="3"/>
      <c r="D1" s="3"/>
      <c r="E1" s="3"/>
      <c r="F1" s="5"/>
    </row>
    <row r="2" ht="14.25" customHeight="1">
      <c r="A2" s="6" t="s">
        <v>10</v>
      </c>
    </row>
    <row r="3" ht="14.25" customHeight="1">
      <c r="A3" s="6" t="s">
        <v>14</v>
      </c>
    </row>
    <row r="4" ht="14.25" customHeight="1">
      <c r="A4" s="6" t="s">
        <v>17</v>
      </c>
    </row>
    <row r="5" ht="14.25" customHeight="1">
      <c r="A5" s="6" t="s">
        <v>20</v>
      </c>
    </row>
    <row r="6" ht="14.25" customHeight="1">
      <c r="A6" s="6" t="s">
        <v>21</v>
      </c>
    </row>
    <row r="7" ht="14.25" customHeight="1">
      <c r="A7" s="6"/>
    </row>
    <row r="8" ht="14.25" customHeight="1">
      <c r="A8" s="8" t="s">
        <v>26</v>
      </c>
      <c r="B8" s="3"/>
      <c r="C8" s="3"/>
      <c r="D8" s="3"/>
      <c r="E8" s="3"/>
      <c r="F8" s="5"/>
    </row>
    <row r="9" ht="14.25" customHeight="1">
      <c r="A9" s="6" t="s">
        <v>31</v>
      </c>
    </row>
    <row r="10" ht="14.25" customHeight="1">
      <c r="A10" s="6" t="s">
        <v>34</v>
      </c>
    </row>
    <row r="11" ht="14.25" customHeight="1">
      <c r="A11" s="6" t="s">
        <v>36</v>
      </c>
    </row>
    <row r="12" ht="14.25" customHeight="1">
      <c r="A12" s="6" t="s">
        <v>39</v>
      </c>
    </row>
    <row r="13" ht="14.25" customHeight="1">
      <c r="A13" s="6"/>
    </row>
    <row r="14" ht="14.25" customHeight="1">
      <c r="A14" s="8" t="s">
        <v>42</v>
      </c>
      <c r="B14" s="3"/>
      <c r="C14" s="3"/>
      <c r="D14" s="3"/>
      <c r="E14" s="3"/>
      <c r="F14" s="5"/>
    </row>
    <row r="15" ht="14.25" customHeight="1">
      <c r="A15" s="6" t="s">
        <v>47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8:F8"/>
    <mergeCell ref="A9:F9"/>
    <mergeCell ref="A10:F10"/>
    <mergeCell ref="A11:F11"/>
    <mergeCell ref="A12:F12"/>
    <mergeCell ref="A13:F13"/>
    <mergeCell ref="A14:F14"/>
    <mergeCell ref="A15:F15"/>
    <mergeCell ref="A1:F1"/>
    <mergeCell ref="A2:F2"/>
    <mergeCell ref="A3:F3"/>
    <mergeCell ref="A4:F4"/>
    <mergeCell ref="A5:F5"/>
    <mergeCell ref="A6:F6"/>
    <mergeCell ref="A7:F7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2026-09-25T04:48:24Z</dcterms:created>
  <dc:creator>OpenAI</dc:creator>
</cp:coreProperties>
</file>